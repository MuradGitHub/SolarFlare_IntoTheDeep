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esktop\Motor Calibration\MotorProfiles - 47 - Motion Profile - I - Shorter lookbacks for D and I terms in PID\"/>
    </mc:Choice>
  </mc:AlternateContent>
  <xr:revisionPtr revIDLastSave="0" documentId="13_ncr:1_{233AAB48-CCB3-4658-8E76-ADA3842AC258}" xr6:coauthVersionLast="47" xr6:coauthVersionMax="47" xr10:uidLastSave="{00000000-0000-0000-0000-000000000000}"/>
  <bookViews>
    <workbookView xWindow="4080" yWindow="852" windowWidth="33348" windowHeight="14052" activeTab="1" xr2:uid="{F0E18EB4-BAA8-4E6C-9B14-57CCBECD9F69}"/>
  </bookViews>
  <sheets>
    <sheet name="Data" sheetId="1" r:id="rId1"/>
    <sheet name="Charts" sheetId="2" r:id="rId2"/>
  </sheets>
  <calcPr calcId="191029"/>
</workbook>
</file>

<file path=xl/calcChain.xml><?xml version="1.0" encoding="utf-8"?>
<calcChain xmlns="http://schemas.openxmlformats.org/spreadsheetml/2006/main">
  <c r="AO199" i="1" l="1"/>
  <c r="AP199" i="1"/>
  <c r="AR199" i="1"/>
  <c r="AS199" i="1"/>
  <c r="AU199" i="1"/>
  <c r="AT200" i="1" s="1"/>
  <c r="AV199" i="1"/>
  <c r="AW199" i="1"/>
  <c r="AX199" i="1"/>
  <c r="AY199" i="1"/>
  <c r="AZ199" i="1"/>
  <c r="AO200" i="1"/>
  <c r="AP200" i="1"/>
  <c r="AS200" i="1" s="1"/>
  <c r="AQ200" i="1"/>
  <c r="AR200" i="1"/>
  <c r="AU200" i="1"/>
  <c r="AV200" i="1"/>
  <c r="AW200" i="1"/>
  <c r="AX200" i="1"/>
  <c r="AY200" i="1"/>
  <c r="AZ200" i="1"/>
  <c r="AO201" i="1"/>
  <c r="AP201" i="1"/>
  <c r="AQ201" i="1" s="1"/>
  <c r="AR201" i="1"/>
  <c r="AS201" i="1"/>
  <c r="AU201" i="1"/>
  <c r="AV201" i="1"/>
  <c r="AW201" i="1"/>
  <c r="AX201" i="1"/>
  <c r="AY201" i="1"/>
  <c r="AZ201" i="1"/>
  <c r="AO202" i="1"/>
  <c r="AP202" i="1"/>
  <c r="AQ202" i="1" s="1"/>
  <c r="AR202" i="1"/>
  <c r="AV202" i="1"/>
  <c r="AW202" i="1"/>
  <c r="AX202" i="1"/>
  <c r="AY202" i="1"/>
  <c r="AZ202" i="1"/>
  <c r="AO203" i="1"/>
  <c r="AP203" i="1"/>
  <c r="AU203" i="1" s="1"/>
  <c r="AQ203" i="1"/>
  <c r="AR203" i="1"/>
  <c r="AS203" i="1"/>
  <c r="AV203" i="1"/>
  <c r="AW203" i="1"/>
  <c r="AX203" i="1"/>
  <c r="AY203" i="1"/>
  <c r="AZ203" i="1"/>
  <c r="AO204" i="1"/>
  <c r="AP204" i="1"/>
  <c r="AS204" i="1" s="1"/>
  <c r="AQ204" i="1"/>
  <c r="AR204" i="1"/>
  <c r="AU204" i="1"/>
  <c r="AV204" i="1"/>
  <c r="AW204" i="1"/>
  <c r="AX204" i="1"/>
  <c r="AY204" i="1"/>
  <c r="AZ204" i="1"/>
  <c r="AO205" i="1"/>
  <c r="AP205" i="1"/>
  <c r="AQ205" i="1" s="1"/>
  <c r="AR205" i="1"/>
  <c r="AS205" i="1"/>
  <c r="AU205" i="1"/>
  <c r="AV205" i="1"/>
  <c r="AW205" i="1"/>
  <c r="AX205" i="1"/>
  <c r="AY205" i="1"/>
  <c r="AZ205" i="1"/>
  <c r="AO206" i="1"/>
  <c r="AP206" i="1"/>
  <c r="AQ206" i="1" s="1"/>
  <c r="AR206" i="1"/>
  <c r="AV206" i="1"/>
  <c r="AW206" i="1"/>
  <c r="AX206" i="1"/>
  <c r="AY206" i="1"/>
  <c r="AZ206" i="1"/>
  <c r="AO207" i="1"/>
  <c r="AP207" i="1"/>
  <c r="AU207" i="1" s="1"/>
  <c r="AQ207" i="1"/>
  <c r="AR207" i="1"/>
  <c r="AS207" i="1"/>
  <c r="AV207" i="1"/>
  <c r="AW207" i="1"/>
  <c r="AX207" i="1"/>
  <c r="AY207" i="1"/>
  <c r="AZ207" i="1"/>
  <c r="AO208" i="1"/>
  <c r="AP208" i="1"/>
  <c r="AS208" i="1" s="1"/>
  <c r="AQ208" i="1"/>
  <c r="AR208" i="1"/>
  <c r="AU208" i="1"/>
  <c r="AV208" i="1"/>
  <c r="AW208" i="1"/>
  <c r="AX208" i="1"/>
  <c r="AY208" i="1"/>
  <c r="AZ208" i="1"/>
  <c r="AO209" i="1"/>
  <c r="AP209" i="1"/>
  <c r="AQ209" i="1" s="1"/>
  <c r="AR209" i="1"/>
  <c r="AS209" i="1"/>
  <c r="AU209" i="1"/>
  <c r="AV209" i="1"/>
  <c r="AW209" i="1"/>
  <c r="AX209" i="1"/>
  <c r="AY209" i="1"/>
  <c r="AZ209" i="1"/>
  <c r="AO210" i="1"/>
  <c r="AP210" i="1"/>
  <c r="AQ210" i="1" s="1"/>
  <c r="AR210" i="1"/>
  <c r="AV210" i="1"/>
  <c r="AW210" i="1"/>
  <c r="AX210" i="1"/>
  <c r="AY210" i="1"/>
  <c r="AZ210" i="1"/>
  <c r="AO211" i="1"/>
  <c r="AP211" i="1"/>
  <c r="AU211" i="1" s="1"/>
  <c r="AQ211" i="1"/>
  <c r="AR211" i="1"/>
  <c r="AS211" i="1"/>
  <c r="AV211" i="1"/>
  <c r="AW211" i="1"/>
  <c r="AX211" i="1"/>
  <c r="AY211" i="1"/>
  <c r="AZ211" i="1"/>
  <c r="AO212" i="1"/>
  <c r="AP212" i="1"/>
  <c r="AS212" i="1" s="1"/>
  <c r="AQ212" i="1"/>
  <c r="AR212" i="1"/>
  <c r="AU212" i="1"/>
  <c r="AV212" i="1"/>
  <c r="AW212" i="1"/>
  <c r="AX212" i="1"/>
  <c r="AY212" i="1"/>
  <c r="AZ212" i="1"/>
  <c r="AO213" i="1"/>
  <c r="AP213" i="1"/>
  <c r="AQ213" i="1" s="1"/>
  <c r="AR213" i="1"/>
  <c r="AS213" i="1"/>
  <c r="AU213" i="1"/>
  <c r="AV213" i="1"/>
  <c r="AW213" i="1"/>
  <c r="AX213" i="1"/>
  <c r="AY213" i="1"/>
  <c r="AZ213" i="1"/>
  <c r="AO214" i="1"/>
  <c r="AP214" i="1"/>
  <c r="AQ214" i="1" s="1"/>
  <c r="AR214" i="1"/>
  <c r="AV214" i="1"/>
  <c r="AW214" i="1"/>
  <c r="AX214" i="1"/>
  <c r="AY214" i="1"/>
  <c r="AZ214" i="1"/>
  <c r="AO215" i="1"/>
  <c r="AP215" i="1"/>
  <c r="AU215" i="1" s="1"/>
  <c r="AQ215" i="1"/>
  <c r="AR215" i="1"/>
  <c r="AS215" i="1"/>
  <c r="AV215" i="1"/>
  <c r="AW215" i="1"/>
  <c r="AX215" i="1"/>
  <c r="AY215" i="1"/>
  <c r="AZ215" i="1"/>
  <c r="AO216" i="1"/>
  <c r="AP216" i="1"/>
  <c r="AS216" i="1" s="1"/>
  <c r="AQ216" i="1"/>
  <c r="AR216" i="1"/>
  <c r="AU216" i="1"/>
  <c r="AV216" i="1"/>
  <c r="AW216" i="1"/>
  <c r="AX216" i="1"/>
  <c r="AY216" i="1"/>
  <c r="AZ216" i="1"/>
  <c r="AO217" i="1"/>
  <c r="AP217" i="1"/>
  <c r="AQ217" i="1" s="1"/>
  <c r="AR217" i="1"/>
  <c r="AS217" i="1"/>
  <c r="AU217" i="1"/>
  <c r="AV217" i="1"/>
  <c r="AW217" i="1"/>
  <c r="AX217" i="1"/>
  <c r="AY217" i="1"/>
  <c r="AZ217" i="1"/>
  <c r="AO218" i="1"/>
  <c r="AP218" i="1"/>
  <c r="AQ218" i="1" s="1"/>
  <c r="AR218" i="1"/>
  <c r="AV218" i="1"/>
  <c r="AW218" i="1"/>
  <c r="AX218" i="1"/>
  <c r="AY218" i="1"/>
  <c r="AZ218" i="1"/>
  <c r="AO219" i="1"/>
  <c r="AP219" i="1"/>
  <c r="AU219" i="1" s="1"/>
  <c r="AQ219" i="1"/>
  <c r="AR219" i="1"/>
  <c r="AS219" i="1"/>
  <c r="AV219" i="1"/>
  <c r="AW219" i="1"/>
  <c r="AX219" i="1"/>
  <c r="AY219" i="1"/>
  <c r="AZ219" i="1"/>
  <c r="AO220" i="1"/>
  <c r="AP220" i="1"/>
  <c r="AS220" i="1" s="1"/>
  <c r="AQ220" i="1"/>
  <c r="AR220" i="1"/>
  <c r="AU220" i="1"/>
  <c r="AV220" i="1"/>
  <c r="AW220" i="1"/>
  <c r="AX220" i="1"/>
  <c r="AY220" i="1"/>
  <c r="AZ220" i="1"/>
  <c r="AO221" i="1"/>
  <c r="AP221" i="1"/>
  <c r="AQ221" i="1" s="1"/>
  <c r="AR221" i="1"/>
  <c r="AS221" i="1"/>
  <c r="AU221" i="1"/>
  <c r="AV221" i="1"/>
  <c r="AW221" i="1"/>
  <c r="AX221" i="1"/>
  <c r="AY221" i="1"/>
  <c r="AZ221" i="1"/>
  <c r="AO222" i="1"/>
  <c r="AP222" i="1"/>
  <c r="AQ222" i="1" s="1"/>
  <c r="AR222" i="1"/>
  <c r="AV222" i="1"/>
  <c r="AW222" i="1"/>
  <c r="AX222" i="1"/>
  <c r="AY222" i="1"/>
  <c r="AZ222" i="1"/>
  <c r="AO223" i="1"/>
  <c r="AP223" i="1"/>
  <c r="AU223" i="1" s="1"/>
  <c r="AQ223" i="1"/>
  <c r="AR223" i="1"/>
  <c r="AS223" i="1"/>
  <c r="AV223" i="1"/>
  <c r="AW223" i="1"/>
  <c r="AX223" i="1"/>
  <c r="AY223" i="1"/>
  <c r="AZ223" i="1"/>
  <c r="AO224" i="1"/>
  <c r="AP224" i="1"/>
  <c r="AS224" i="1" s="1"/>
  <c r="AQ224" i="1"/>
  <c r="AR224" i="1"/>
  <c r="AU224" i="1"/>
  <c r="AV224" i="1"/>
  <c r="AW224" i="1"/>
  <c r="AX224" i="1"/>
  <c r="AY224" i="1"/>
  <c r="AZ224" i="1"/>
  <c r="AO225" i="1"/>
  <c r="AP225" i="1"/>
  <c r="AQ225" i="1" s="1"/>
  <c r="AR225" i="1"/>
  <c r="AS225" i="1"/>
  <c r="AU225" i="1"/>
  <c r="AV225" i="1"/>
  <c r="AW225" i="1"/>
  <c r="AX225" i="1"/>
  <c r="AY225" i="1"/>
  <c r="AZ225" i="1"/>
  <c r="AO226" i="1"/>
  <c r="AP226" i="1"/>
  <c r="AQ226" i="1" s="1"/>
  <c r="AR226" i="1"/>
  <c r="AV226" i="1"/>
  <c r="AW226" i="1"/>
  <c r="AX226" i="1"/>
  <c r="AY226" i="1"/>
  <c r="AZ226" i="1"/>
  <c r="AO227" i="1"/>
  <c r="AP227" i="1"/>
  <c r="AU227" i="1" s="1"/>
  <c r="AQ227" i="1"/>
  <c r="AR227" i="1"/>
  <c r="AS227" i="1"/>
  <c r="AV227" i="1"/>
  <c r="AW227" i="1"/>
  <c r="AX227" i="1"/>
  <c r="AY227" i="1"/>
  <c r="AZ227" i="1"/>
  <c r="AO228" i="1"/>
  <c r="AP228" i="1"/>
  <c r="AS228" i="1" s="1"/>
  <c r="AQ228" i="1"/>
  <c r="AR228" i="1"/>
  <c r="AU228" i="1"/>
  <c r="AV228" i="1"/>
  <c r="AW228" i="1"/>
  <c r="AX228" i="1"/>
  <c r="AY228" i="1"/>
  <c r="AZ228" i="1"/>
  <c r="AO229" i="1"/>
  <c r="AP229" i="1"/>
  <c r="AQ229" i="1" s="1"/>
  <c r="AR229" i="1"/>
  <c r="AS229" i="1"/>
  <c r="AU229" i="1"/>
  <c r="AV229" i="1"/>
  <c r="AW229" i="1"/>
  <c r="AX229" i="1"/>
  <c r="AY229" i="1"/>
  <c r="AZ229" i="1"/>
  <c r="AO230" i="1"/>
  <c r="AP230" i="1"/>
  <c r="AQ230" i="1" s="1"/>
  <c r="AR230" i="1"/>
  <c r="AV230" i="1"/>
  <c r="AW230" i="1"/>
  <c r="AX230" i="1"/>
  <c r="AY230" i="1"/>
  <c r="AZ230" i="1"/>
  <c r="AO231" i="1"/>
  <c r="AP231" i="1"/>
  <c r="AU231" i="1" s="1"/>
  <c r="AQ231" i="1"/>
  <c r="AR231" i="1"/>
  <c r="AS231" i="1"/>
  <c r="AV231" i="1"/>
  <c r="AW231" i="1"/>
  <c r="AX231" i="1"/>
  <c r="AY231" i="1"/>
  <c r="AZ231" i="1"/>
  <c r="AO189" i="1"/>
  <c r="AP189" i="1"/>
  <c r="AS189" i="1" s="1"/>
  <c r="AR189" i="1"/>
  <c r="AV189" i="1"/>
  <c r="AW189" i="1"/>
  <c r="AX189" i="1"/>
  <c r="AY189" i="1"/>
  <c r="AZ189" i="1"/>
  <c r="AO190" i="1"/>
  <c r="AP190" i="1"/>
  <c r="AS190" i="1" s="1"/>
  <c r="AR190" i="1"/>
  <c r="AV190" i="1"/>
  <c r="AW190" i="1"/>
  <c r="AX190" i="1"/>
  <c r="AY190" i="1"/>
  <c r="AZ190" i="1"/>
  <c r="AO191" i="1"/>
  <c r="AP191" i="1"/>
  <c r="AS191" i="1" s="1"/>
  <c r="AR191" i="1"/>
  <c r="AV191" i="1"/>
  <c r="AW191" i="1"/>
  <c r="AX191" i="1"/>
  <c r="AY191" i="1"/>
  <c r="AZ191" i="1"/>
  <c r="AO192" i="1"/>
  <c r="AP192" i="1"/>
  <c r="AS192" i="1" s="1"/>
  <c r="AR192" i="1"/>
  <c r="AV192" i="1"/>
  <c r="AW192" i="1"/>
  <c r="AX192" i="1"/>
  <c r="AY192" i="1"/>
  <c r="AZ192" i="1"/>
  <c r="AO193" i="1"/>
  <c r="AP193" i="1"/>
  <c r="AS193" i="1" s="1"/>
  <c r="AR193" i="1"/>
  <c r="AV193" i="1"/>
  <c r="AW193" i="1"/>
  <c r="AX193" i="1"/>
  <c r="AY193" i="1"/>
  <c r="AZ193" i="1"/>
  <c r="AO194" i="1"/>
  <c r="AP194" i="1"/>
  <c r="AS194" i="1" s="1"/>
  <c r="AR194" i="1"/>
  <c r="AV194" i="1"/>
  <c r="AW194" i="1"/>
  <c r="AX194" i="1"/>
  <c r="AY194" i="1"/>
  <c r="AZ194" i="1"/>
  <c r="AO195" i="1"/>
  <c r="AP195" i="1"/>
  <c r="AR195" i="1"/>
  <c r="AV195" i="1"/>
  <c r="AW195" i="1"/>
  <c r="AX195" i="1"/>
  <c r="AY195" i="1"/>
  <c r="AZ195" i="1"/>
  <c r="AO196" i="1"/>
  <c r="AP196" i="1"/>
  <c r="AS196" i="1" s="1"/>
  <c r="AR196" i="1"/>
  <c r="AV196" i="1"/>
  <c r="AW196" i="1"/>
  <c r="AX196" i="1"/>
  <c r="AY196" i="1"/>
  <c r="AZ196" i="1"/>
  <c r="AO197" i="1"/>
  <c r="AP197" i="1"/>
  <c r="AS197" i="1" s="1"/>
  <c r="AR197" i="1"/>
  <c r="AV197" i="1"/>
  <c r="AW197" i="1"/>
  <c r="AX197" i="1"/>
  <c r="AY197" i="1"/>
  <c r="AZ197" i="1"/>
  <c r="AO198" i="1"/>
  <c r="AP198" i="1"/>
  <c r="AS198" i="1" s="1"/>
  <c r="AR198" i="1"/>
  <c r="AV198" i="1"/>
  <c r="AW198" i="1"/>
  <c r="AX198" i="1"/>
  <c r="AY198" i="1"/>
  <c r="AZ19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2" i="1"/>
  <c r="AP3" i="1"/>
  <c r="AP4" i="1"/>
  <c r="AP5" i="1"/>
  <c r="AS5" i="1" s="1"/>
  <c r="AP6" i="1"/>
  <c r="AS6" i="1" s="1"/>
  <c r="AP7" i="1"/>
  <c r="AS7" i="1" s="1"/>
  <c r="AP8" i="1"/>
  <c r="AS8" i="1" s="1"/>
  <c r="AP9" i="1"/>
  <c r="AP10" i="1"/>
  <c r="AS10" i="1" s="1"/>
  <c r="AP11" i="1"/>
  <c r="AP12" i="1"/>
  <c r="AS12" i="1" s="1"/>
  <c r="AP13" i="1"/>
  <c r="AP14" i="1"/>
  <c r="AS14" i="1" s="1"/>
  <c r="AP15" i="1"/>
  <c r="AS15" i="1" s="1"/>
  <c r="AP16" i="1"/>
  <c r="AS16" i="1" s="1"/>
  <c r="AP17" i="1"/>
  <c r="AS17" i="1" s="1"/>
  <c r="AP18" i="1"/>
  <c r="AS18" i="1" s="1"/>
  <c r="AP19" i="1"/>
  <c r="AS19" i="1" s="1"/>
  <c r="AP20" i="1"/>
  <c r="AP21" i="1"/>
  <c r="AS21" i="1" s="1"/>
  <c r="AP22" i="1"/>
  <c r="AS22" i="1" s="1"/>
  <c r="AP23" i="1"/>
  <c r="AS23" i="1" s="1"/>
  <c r="AP24" i="1"/>
  <c r="AS24" i="1" s="1"/>
  <c r="AP25" i="1"/>
  <c r="AP26" i="1"/>
  <c r="AS26" i="1" s="1"/>
  <c r="AP27" i="1"/>
  <c r="AP28" i="1"/>
  <c r="AS28" i="1" s="1"/>
  <c r="AP29" i="1"/>
  <c r="AP30" i="1"/>
  <c r="AS30" i="1" s="1"/>
  <c r="AP31" i="1"/>
  <c r="AS31" i="1" s="1"/>
  <c r="AP32" i="1"/>
  <c r="AS32" i="1" s="1"/>
  <c r="AP33" i="1"/>
  <c r="AS33" i="1" s="1"/>
  <c r="AP34" i="1"/>
  <c r="AS34" i="1" s="1"/>
  <c r="AP35" i="1"/>
  <c r="AS35" i="1" s="1"/>
  <c r="AP36" i="1"/>
  <c r="AS36" i="1" s="1"/>
  <c r="AP37" i="1"/>
  <c r="AS37" i="1" s="1"/>
  <c r="AP38" i="1"/>
  <c r="AS38" i="1" s="1"/>
  <c r="AP39" i="1"/>
  <c r="AS39" i="1" s="1"/>
  <c r="AP40" i="1"/>
  <c r="AS40" i="1" s="1"/>
  <c r="AP41" i="1"/>
  <c r="AP42" i="1"/>
  <c r="AS42" i="1" s="1"/>
  <c r="AP43" i="1"/>
  <c r="AP44" i="1"/>
  <c r="AS44" i="1" s="1"/>
  <c r="AP45" i="1"/>
  <c r="AP46" i="1"/>
  <c r="AS46" i="1" s="1"/>
  <c r="AP47" i="1"/>
  <c r="AS47" i="1" s="1"/>
  <c r="AP48" i="1"/>
  <c r="AS48" i="1" s="1"/>
  <c r="AP49" i="1"/>
  <c r="AS49" i="1" s="1"/>
  <c r="AP50" i="1"/>
  <c r="AS50" i="1" s="1"/>
  <c r="AP51" i="1"/>
  <c r="AS51" i="1" s="1"/>
  <c r="AP52" i="1"/>
  <c r="AS52" i="1" s="1"/>
  <c r="AP53" i="1"/>
  <c r="AS53" i="1" s="1"/>
  <c r="AP54" i="1"/>
  <c r="AS54" i="1" s="1"/>
  <c r="AP55" i="1"/>
  <c r="AS55" i="1" s="1"/>
  <c r="AP56" i="1"/>
  <c r="AS56" i="1" s="1"/>
  <c r="AP57" i="1"/>
  <c r="AP58" i="1"/>
  <c r="AP59" i="1"/>
  <c r="AP60" i="1"/>
  <c r="AS60" i="1" s="1"/>
  <c r="AP61" i="1"/>
  <c r="AP62" i="1"/>
  <c r="AS62" i="1" s="1"/>
  <c r="AP63" i="1"/>
  <c r="AS63" i="1" s="1"/>
  <c r="AP64" i="1"/>
  <c r="AS64" i="1" s="1"/>
  <c r="AP65" i="1"/>
  <c r="AS65" i="1" s="1"/>
  <c r="AP66" i="1"/>
  <c r="AS66" i="1" s="1"/>
  <c r="AP67" i="1"/>
  <c r="AS67" i="1" s="1"/>
  <c r="AP68" i="1"/>
  <c r="AS68" i="1" s="1"/>
  <c r="AP69" i="1"/>
  <c r="AS69" i="1" s="1"/>
  <c r="AP70" i="1"/>
  <c r="AS70" i="1" s="1"/>
  <c r="AP71" i="1"/>
  <c r="AS71" i="1" s="1"/>
  <c r="AP72" i="1"/>
  <c r="AS72" i="1" s="1"/>
  <c r="AP73" i="1"/>
  <c r="AP74" i="1"/>
  <c r="AS74" i="1" s="1"/>
  <c r="AP75" i="1"/>
  <c r="AP76" i="1"/>
  <c r="AS76" i="1" s="1"/>
  <c r="AP77" i="1"/>
  <c r="AP78" i="1"/>
  <c r="AS78" i="1" s="1"/>
  <c r="AP79" i="1"/>
  <c r="AS79" i="1" s="1"/>
  <c r="AP80" i="1"/>
  <c r="AS80" i="1" s="1"/>
  <c r="AP81" i="1"/>
  <c r="AS81" i="1" s="1"/>
  <c r="AP82" i="1"/>
  <c r="AS82" i="1" s="1"/>
  <c r="AP83" i="1"/>
  <c r="AS83" i="1" s="1"/>
  <c r="AP84" i="1"/>
  <c r="AP85" i="1"/>
  <c r="AS85" i="1" s="1"/>
  <c r="AP86" i="1"/>
  <c r="AS86" i="1" s="1"/>
  <c r="AP87" i="1"/>
  <c r="AS87" i="1" s="1"/>
  <c r="AP88" i="1"/>
  <c r="AS88" i="1" s="1"/>
  <c r="AP89" i="1"/>
  <c r="AP90" i="1"/>
  <c r="AS90" i="1" s="1"/>
  <c r="AP91" i="1"/>
  <c r="AP92" i="1"/>
  <c r="AS92" i="1" s="1"/>
  <c r="AP93" i="1"/>
  <c r="AP94" i="1"/>
  <c r="AS94" i="1" s="1"/>
  <c r="AP95" i="1"/>
  <c r="AS95" i="1" s="1"/>
  <c r="AP96" i="1"/>
  <c r="AS96" i="1" s="1"/>
  <c r="AP97" i="1"/>
  <c r="AS97" i="1" s="1"/>
  <c r="AP98" i="1"/>
  <c r="AS98" i="1" s="1"/>
  <c r="AP99" i="1"/>
  <c r="AS99" i="1" s="1"/>
  <c r="AP100" i="1"/>
  <c r="AP101" i="1"/>
  <c r="AS101" i="1" s="1"/>
  <c r="AP102" i="1"/>
  <c r="AS102" i="1" s="1"/>
  <c r="AP103" i="1"/>
  <c r="AS103" i="1" s="1"/>
  <c r="AP104" i="1"/>
  <c r="AS104" i="1" s="1"/>
  <c r="AP105" i="1"/>
  <c r="AP106" i="1"/>
  <c r="AS106" i="1" s="1"/>
  <c r="AP107" i="1"/>
  <c r="AP108" i="1"/>
  <c r="AS108" i="1" s="1"/>
  <c r="AP109" i="1"/>
  <c r="AP110" i="1"/>
  <c r="AS110" i="1" s="1"/>
  <c r="AP111" i="1"/>
  <c r="AS111" i="1" s="1"/>
  <c r="AP112" i="1"/>
  <c r="AS112" i="1" s="1"/>
  <c r="AP113" i="1"/>
  <c r="AS113" i="1" s="1"/>
  <c r="AP114" i="1"/>
  <c r="AS114" i="1" s="1"/>
  <c r="AP115" i="1"/>
  <c r="AS115" i="1" s="1"/>
  <c r="AP116" i="1"/>
  <c r="AS116" i="1" s="1"/>
  <c r="AP117" i="1"/>
  <c r="AS117" i="1" s="1"/>
  <c r="AP118" i="1"/>
  <c r="AS118" i="1" s="1"/>
  <c r="AP119" i="1"/>
  <c r="AS119" i="1" s="1"/>
  <c r="AP120" i="1"/>
  <c r="AS120" i="1" s="1"/>
  <c r="AP121" i="1"/>
  <c r="AP122" i="1"/>
  <c r="AP123" i="1"/>
  <c r="AP124" i="1"/>
  <c r="AS124" i="1" s="1"/>
  <c r="AP125" i="1"/>
  <c r="AP126" i="1"/>
  <c r="AS126" i="1" s="1"/>
  <c r="AP127" i="1"/>
  <c r="AS127" i="1" s="1"/>
  <c r="AP128" i="1"/>
  <c r="AS128" i="1" s="1"/>
  <c r="AP129" i="1"/>
  <c r="AS129" i="1" s="1"/>
  <c r="AP130" i="1"/>
  <c r="AS130" i="1" s="1"/>
  <c r="AP131" i="1"/>
  <c r="AS131" i="1" s="1"/>
  <c r="AP132" i="1"/>
  <c r="AP133" i="1"/>
  <c r="AS133" i="1" s="1"/>
  <c r="AP134" i="1"/>
  <c r="AS134" i="1" s="1"/>
  <c r="AP135" i="1"/>
  <c r="AS135" i="1" s="1"/>
  <c r="AP136" i="1"/>
  <c r="AS136" i="1" s="1"/>
  <c r="AP137" i="1"/>
  <c r="AP138" i="1"/>
  <c r="AS138" i="1" s="1"/>
  <c r="AP139" i="1"/>
  <c r="AP140" i="1"/>
  <c r="AS140" i="1" s="1"/>
  <c r="AP141" i="1"/>
  <c r="AP142" i="1"/>
  <c r="AS142" i="1" s="1"/>
  <c r="AP143" i="1"/>
  <c r="AS143" i="1" s="1"/>
  <c r="AP144" i="1"/>
  <c r="AS144" i="1" s="1"/>
  <c r="AP145" i="1"/>
  <c r="AS145" i="1" s="1"/>
  <c r="AP146" i="1"/>
  <c r="AS146" i="1" s="1"/>
  <c r="AP147" i="1"/>
  <c r="AS147" i="1" s="1"/>
  <c r="AP148" i="1"/>
  <c r="AP149" i="1"/>
  <c r="AS149" i="1" s="1"/>
  <c r="AP150" i="1"/>
  <c r="AS150" i="1" s="1"/>
  <c r="AP151" i="1"/>
  <c r="AS151" i="1" s="1"/>
  <c r="AP152" i="1"/>
  <c r="AS152" i="1" s="1"/>
  <c r="AP153" i="1"/>
  <c r="AP154" i="1"/>
  <c r="AS154" i="1" s="1"/>
  <c r="AP155" i="1"/>
  <c r="AP156" i="1"/>
  <c r="AS156" i="1" s="1"/>
  <c r="AP157" i="1"/>
  <c r="AP158" i="1"/>
  <c r="AS158" i="1" s="1"/>
  <c r="AP159" i="1"/>
  <c r="AS159" i="1" s="1"/>
  <c r="AP160" i="1"/>
  <c r="AS160" i="1" s="1"/>
  <c r="AP161" i="1"/>
  <c r="AS161" i="1" s="1"/>
  <c r="AP162" i="1"/>
  <c r="AS162" i="1" s="1"/>
  <c r="AP163" i="1"/>
  <c r="AS163" i="1" s="1"/>
  <c r="AP164" i="1"/>
  <c r="AP165" i="1"/>
  <c r="AS165" i="1" s="1"/>
  <c r="AP166" i="1"/>
  <c r="AS166" i="1" s="1"/>
  <c r="AP167" i="1"/>
  <c r="AS167" i="1" s="1"/>
  <c r="AP168" i="1"/>
  <c r="AS168" i="1" s="1"/>
  <c r="AP169" i="1"/>
  <c r="AP170" i="1"/>
  <c r="AS170" i="1" s="1"/>
  <c r="AP171" i="1"/>
  <c r="AP172" i="1"/>
  <c r="AS172" i="1" s="1"/>
  <c r="AP173" i="1"/>
  <c r="AP174" i="1"/>
  <c r="AS174" i="1" s="1"/>
  <c r="AP175" i="1"/>
  <c r="AS175" i="1" s="1"/>
  <c r="AP176" i="1"/>
  <c r="AS176" i="1" s="1"/>
  <c r="AP177" i="1"/>
  <c r="AS177" i="1" s="1"/>
  <c r="AP178" i="1"/>
  <c r="AS178" i="1" s="1"/>
  <c r="AP179" i="1"/>
  <c r="AS179" i="1" s="1"/>
  <c r="AP180" i="1"/>
  <c r="AP181" i="1"/>
  <c r="AS181" i="1" s="1"/>
  <c r="AP182" i="1"/>
  <c r="AS182" i="1" s="1"/>
  <c r="AP183" i="1"/>
  <c r="AS183" i="1" s="1"/>
  <c r="AP184" i="1"/>
  <c r="AS184" i="1" s="1"/>
  <c r="AP185" i="1"/>
  <c r="AP186" i="1"/>
  <c r="AP187" i="1"/>
  <c r="AP188" i="1"/>
  <c r="AS188" i="1" s="1"/>
  <c r="AP2" i="1"/>
  <c r="AS2" i="1" s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2" i="1"/>
  <c r="AT231" i="1" l="1"/>
  <c r="AT217" i="1"/>
  <c r="AT225" i="1"/>
  <c r="AT220" i="1"/>
  <c r="AT227" i="1"/>
  <c r="AT213" i="1"/>
  <c r="AT208" i="1"/>
  <c r="AT215" i="1"/>
  <c r="AT201" i="1"/>
  <c r="AU230" i="1"/>
  <c r="AU226" i="1"/>
  <c r="AT230" i="1" s="1"/>
  <c r="AU222" i="1"/>
  <c r="AT226" i="1" s="1"/>
  <c r="AU218" i="1"/>
  <c r="AT222" i="1" s="1"/>
  <c r="AU214" i="1"/>
  <c r="AT218" i="1" s="1"/>
  <c r="AU210" i="1"/>
  <c r="AT214" i="1" s="1"/>
  <c r="AU206" i="1"/>
  <c r="AT210" i="1" s="1"/>
  <c r="AU202" i="1"/>
  <c r="AT206" i="1" s="1"/>
  <c r="AT202" i="1"/>
  <c r="AS230" i="1"/>
  <c r="AS226" i="1"/>
  <c r="AS222" i="1"/>
  <c r="AS218" i="1"/>
  <c r="AS214" i="1"/>
  <c r="AS210" i="1"/>
  <c r="AS206" i="1"/>
  <c r="AS202" i="1"/>
  <c r="AT199" i="1"/>
  <c r="AQ199" i="1"/>
  <c r="AU192" i="1"/>
  <c r="AU193" i="1"/>
  <c r="AU197" i="1"/>
  <c r="AU196" i="1"/>
  <c r="AU189" i="1"/>
  <c r="AU185" i="1"/>
  <c r="AU169" i="1"/>
  <c r="AU153" i="1"/>
  <c r="AU137" i="1"/>
  <c r="AU121" i="1"/>
  <c r="AU105" i="1"/>
  <c r="AU89" i="1"/>
  <c r="AU73" i="1"/>
  <c r="AU57" i="1"/>
  <c r="AU41" i="1"/>
  <c r="AU25" i="1"/>
  <c r="AU9" i="1"/>
  <c r="AU195" i="1"/>
  <c r="AU165" i="1"/>
  <c r="AS195" i="1"/>
  <c r="AQ198" i="1"/>
  <c r="AQ195" i="1"/>
  <c r="AU5" i="1"/>
  <c r="AU101" i="1"/>
  <c r="AU173" i="1"/>
  <c r="AU157" i="1"/>
  <c r="AU141" i="1"/>
  <c r="AU125" i="1"/>
  <c r="AU109" i="1"/>
  <c r="AU93" i="1"/>
  <c r="AU77" i="1"/>
  <c r="AU61" i="1"/>
  <c r="AU45" i="1"/>
  <c r="AU29" i="1"/>
  <c r="AU13" i="1"/>
  <c r="AQ193" i="1"/>
  <c r="AU85" i="1"/>
  <c r="AQ196" i="1"/>
  <c r="AU191" i="1"/>
  <c r="AU149" i="1"/>
  <c r="AU187" i="1"/>
  <c r="AU139" i="1"/>
  <c r="AU107" i="1"/>
  <c r="AU91" i="1"/>
  <c r="AU43" i="1"/>
  <c r="AU11" i="1"/>
  <c r="AU181" i="1"/>
  <c r="AU133" i="1"/>
  <c r="AQ194" i="1"/>
  <c r="AQ189" i="1"/>
  <c r="AQ197" i="1"/>
  <c r="AQ190" i="1"/>
  <c r="AQ191" i="1"/>
  <c r="AQ192" i="1"/>
  <c r="AU198" i="1"/>
  <c r="AU194" i="1"/>
  <c r="AU190" i="1"/>
  <c r="AS153" i="1"/>
  <c r="AS89" i="1"/>
  <c r="AS25" i="1"/>
  <c r="AU172" i="1"/>
  <c r="AU156" i="1"/>
  <c r="AU124" i="1"/>
  <c r="AU76" i="1"/>
  <c r="AU60" i="1"/>
  <c r="AU28" i="1"/>
  <c r="AS141" i="1"/>
  <c r="AS77" i="1"/>
  <c r="AS13" i="1"/>
  <c r="AU186" i="1"/>
  <c r="AU170" i="1"/>
  <c r="AU154" i="1"/>
  <c r="AU138" i="1"/>
  <c r="AU122" i="1"/>
  <c r="AU106" i="1"/>
  <c r="AU90" i="1"/>
  <c r="AU74" i="1"/>
  <c r="AU58" i="1"/>
  <c r="AU42" i="1"/>
  <c r="AU26" i="1"/>
  <c r="AU10" i="1"/>
  <c r="AS9" i="1"/>
  <c r="AS61" i="1"/>
  <c r="AS125" i="1"/>
  <c r="AS137" i="1"/>
  <c r="AS186" i="1"/>
  <c r="AS122" i="1"/>
  <c r="AS58" i="1"/>
  <c r="AS73" i="1"/>
  <c r="AU21" i="1"/>
  <c r="AS185" i="1"/>
  <c r="AS121" i="1"/>
  <c r="AS57" i="1"/>
  <c r="AS173" i="1"/>
  <c r="AS109" i="1"/>
  <c r="AS45" i="1"/>
  <c r="AU3" i="1"/>
  <c r="AS105" i="1"/>
  <c r="AS169" i="1"/>
  <c r="AS41" i="1"/>
  <c r="AS157" i="1"/>
  <c r="AS93" i="1"/>
  <c r="AS29" i="1"/>
  <c r="AU184" i="1"/>
  <c r="AU168" i="1"/>
  <c r="AU152" i="1"/>
  <c r="AU136" i="1"/>
  <c r="AU120" i="1"/>
  <c r="AU104" i="1"/>
  <c r="AU88" i="1"/>
  <c r="AU72" i="1"/>
  <c r="AU56" i="1"/>
  <c r="AU40" i="1"/>
  <c r="AU24" i="1"/>
  <c r="AU8" i="1"/>
  <c r="AU119" i="1"/>
  <c r="AU183" i="1"/>
  <c r="AU167" i="1"/>
  <c r="AU151" i="1"/>
  <c r="AU135" i="1"/>
  <c r="AU103" i="1"/>
  <c r="AU87" i="1"/>
  <c r="AU71" i="1"/>
  <c r="AU55" i="1"/>
  <c r="AU39" i="1"/>
  <c r="AU23" i="1"/>
  <c r="AU7" i="1"/>
  <c r="AS187" i="1"/>
  <c r="AS171" i="1"/>
  <c r="AS155" i="1"/>
  <c r="AS139" i="1"/>
  <c r="AS123" i="1"/>
  <c r="AS107" i="1"/>
  <c r="AS91" i="1"/>
  <c r="AS75" i="1"/>
  <c r="AS59" i="1"/>
  <c r="AS43" i="1"/>
  <c r="AS27" i="1"/>
  <c r="AS11" i="1"/>
  <c r="AU182" i="1"/>
  <c r="AU166" i="1"/>
  <c r="AU150" i="1"/>
  <c r="AU134" i="1"/>
  <c r="AU118" i="1"/>
  <c r="AU102" i="1"/>
  <c r="AU86" i="1"/>
  <c r="AU70" i="1"/>
  <c r="AU54" i="1"/>
  <c r="AU38" i="1"/>
  <c r="AU22" i="1"/>
  <c r="AU6" i="1"/>
  <c r="AU53" i="1"/>
  <c r="AU164" i="1"/>
  <c r="AU132" i="1"/>
  <c r="AU84" i="1"/>
  <c r="AU20" i="1"/>
  <c r="AU37" i="1"/>
  <c r="AU180" i="1"/>
  <c r="AU148" i="1"/>
  <c r="AU116" i="1"/>
  <c r="AU100" i="1"/>
  <c r="AU68" i="1"/>
  <c r="AU52" i="1"/>
  <c r="AU36" i="1"/>
  <c r="AU4" i="1"/>
  <c r="AU179" i="1"/>
  <c r="AU163" i="1"/>
  <c r="AU147" i="1"/>
  <c r="AU131" i="1"/>
  <c r="AU115" i="1"/>
  <c r="AU99" i="1"/>
  <c r="AU83" i="1"/>
  <c r="AU67" i="1"/>
  <c r="AU51" i="1"/>
  <c r="AU35" i="1"/>
  <c r="AU19" i="1"/>
  <c r="AU117" i="1"/>
  <c r="AU178" i="1"/>
  <c r="AU130" i="1"/>
  <c r="AU98" i="1"/>
  <c r="AU66" i="1"/>
  <c r="AU34" i="1"/>
  <c r="AU177" i="1"/>
  <c r="AU161" i="1"/>
  <c r="AU145" i="1"/>
  <c r="AU129" i="1"/>
  <c r="AU113" i="1"/>
  <c r="AU97" i="1"/>
  <c r="AU81" i="1"/>
  <c r="AU65" i="1"/>
  <c r="AU49" i="1"/>
  <c r="AU33" i="1"/>
  <c r="AU17" i="1"/>
  <c r="AU69" i="1"/>
  <c r="AU146" i="1"/>
  <c r="AU114" i="1"/>
  <c r="AU82" i="1"/>
  <c r="AU50" i="1"/>
  <c r="AU18" i="1"/>
  <c r="AU176" i="1"/>
  <c r="AU160" i="1"/>
  <c r="AU144" i="1"/>
  <c r="AU128" i="1"/>
  <c r="AU112" i="1"/>
  <c r="AU96" i="1"/>
  <c r="AU80" i="1"/>
  <c r="AU64" i="1"/>
  <c r="AU48" i="1"/>
  <c r="AU32" i="1"/>
  <c r="AU16" i="1"/>
  <c r="AS180" i="1"/>
  <c r="AS164" i="1"/>
  <c r="AS148" i="1"/>
  <c r="AS132" i="1"/>
  <c r="AS100" i="1"/>
  <c r="AS84" i="1"/>
  <c r="AS20" i="1"/>
  <c r="AS4" i="1"/>
  <c r="AU175" i="1"/>
  <c r="AU159" i="1"/>
  <c r="AU143" i="1"/>
  <c r="AU127" i="1"/>
  <c r="AU111" i="1"/>
  <c r="AU95" i="1"/>
  <c r="AU79" i="1"/>
  <c r="AU63" i="1"/>
  <c r="AU47" i="1"/>
  <c r="AU31" i="1"/>
  <c r="AU15" i="1"/>
  <c r="AU162" i="1"/>
  <c r="AS3" i="1"/>
  <c r="AU174" i="1"/>
  <c r="AU158" i="1"/>
  <c r="AU142" i="1"/>
  <c r="AU126" i="1"/>
  <c r="AU110" i="1"/>
  <c r="AU94" i="1"/>
  <c r="AU78" i="1"/>
  <c r="AU62" i="1"/>
  <c r="AU46" i="1"/>
  <c r="AU30" i="1"/>
  <c r="AU14" i="1"/>
  <c r="AU188" i="1"/>
  <c r="AU140" i="1"/>
  <c r="AU108" i="1"/>
  <c r="AU92" i="1"/>
  <c r="AU44" i="1"/>
  <c r="AU12" i="1"/>
  <c r="AU171" i="1"/>
  <c r="AU155" i="1"/>
  <c r="AU123" i="1"/>
  <c r="AU75" i="1"/>
  <c r="AU59" i="1"/>
  <c r="AU27" i="1"/>
  <c r="AV187" i="1"/>
  <c r="AW187" i="1"/>
  <c r="AX187" i="1"/>
  <c r="AY187" i="1"/>
  <c r="AV188" i="1"/>
  <c r="AW188" i="1"/>
  <c r="AX188" i="1"/>
  <c r="AY188" i="1"/>
  <c r="AV156" i="1"/>
  <c r="AW156" i="1"/>
  <c r="AX156" i="1"/>
  <c r="AY156" i="1"/>
  <c r="AV157" i="1"/>
  <c r="AW157" i="1"/>
  <c r="AX157" i="1"/>
  <c r="AY157" i="1"/>
  <c r="AV158" i="1"/>
  <c r="AW158" i="1"/>
  <c r="AX158" i="1"/>
  <c r="AY158" i="1"/>
  <c r="AV159" i="1"/>
  <c r="AW159" i="1"/>
  <c r="AX159" i="1"/>
  <c r="AY159" i="1"/>
  <c r="AV160" i="1"/>
  <c r="AW160" i="1"/>
  <c r="AX160" i="1"/>
  <c r="AY160" i="1"/>
  <c r="AV161" i="1"/>
  <c r="AW161" i="1"/>
  <c r="AX161" i="1"/>
  <c r="AY161" i="1"/>
  <c r="AV162" i="1"/>
  <c r="AW162" i="1"/>
  <c r="AX162" i="1"/>
  <c r="AY162" i="1"/>
  <c r="AV163" i="1"/>
  <c r="AW163" i="1"/>
  <c r="AX163" i="1"/>
  <c r="AY163" i="1"/>
  <c r="AV164" i="1"/>
  <c r="AW164" i="1"/>
  <c r="AX164" i="1"/>
  <c r="AY164" i="1"/>
  <c r="AV165" i="1"/>
  <c r="AW165" i="1"/>
  <c r="AX165" i="1"/>
  <c r="AY165" i="1"/>
  <c r="AV166" i="1"/>
  <c r="AW166" i="1"/>
  <c r="AX166" i="1"/>
  <c r="AY166" i="1"/>
  <c r="AV167" i="1"/>
  <c r="AW167" i="1"/>
  <c r="AX167" i="1"/>
  <c r="AY167" i="1"/>
  <c r="AV168" i="1"/>
  <c r="AW168" i="1"/>
  <c r="AX168" i="1"/>
  <c r="AY168" i="1"/>
  <c r="AV169" i="1"/>
  <c r="AW169" i="1"/>
  <c r="AX169" i="1"/>
  <c r="AY169" i="1"/>
  <c r="AV170" i="1"/>
  <c r="AW170" i="1"/>
  <c r="AX170" i="1"/>
  <c r="AY170" i="1"/>
  <c r="AV171" i="1"/>
  <c r="AW171" i="1"/>
  <c r="AX171" i="1"/>
  <c r="AY171" i="1"/>
  <c r="AV172" i="1"/>
  <c r="AW172" i="1"/>
  <c r="AX172" i="1"/>
  <c r="AY172" i="1"/>
  <c r="AV173" i="1"/>
  <c r="AW173" i="1"/>
  <c r="AX173" i="1"/>
  <c r="AY173" i="1"/>
  <c r="AV174" i="1"/>
  <c r="AW174" i="1"/>
  <c r="AX174" i="1"/>
  <c r="AY174" i="1"/>
  <c r="AV175" i="1"/>
  <c r="AW175" i="1"/>
  <c r="AX175" i="1"/>
  <c r="AY175" i="1"/>
  <c r="AV176" i="1"/>
  <c r="AW176" i="1"/>
  <c r="AX176" i="1"/>
  <c r="AY176" i="1"/>
  <c r="AV177" i="1"/>
  <c r="AW177" i="1"/>
  <c r="AX177" i="1"/>
  <c r="AY177" i="1"/>
  <c r="AV178" i="1"/>
  <c r="AW178" i="1"/>
  <c r="AX178" i="1"/>
  <c r="AY178" i="1"/>
  <c r="AV179" i="1"/>
  <c r="AW179" i="1"/>
  <c r="AX179" i="1"/>
  <c r="AY179" i="1"/>
  <c r="AV180" i="1"/>
  <c r="AW180" i="1"/>
  <c r="AX180" i="1"/>
  <c r="AY180" i="1"/>
  <c r="AV181" i="1"/>
  <c r="AW181" i="1"/>
  <c r="AX181" i="1"/>
  <c r="AY181" i="1"/>
  <c r="AV182" i="1"/>
  <c r="AW182" i="1"/>
  <c r="AX182" i="1"/>
  <c r="AY182" i="1"/>
  <c r="AV183" i="1"/>
  <c r="AW183" i="1"/>
  <c r="AX183" i="1"/>
  <c r="AY183" i="1"/>
  <c r="AV184" i="1"/>
  <c r="AW184" i="1"/>
  <c r="AX184" i="1"/>
  <c r="AY184" i="1"/>
  <c r="AV185" i="1"/>
  <c r="AW185" i="1"/>
  <c r="AX185" i="1"/>
  <c r="AY185" i="1"/>
  <c r="AV186" i="1"/>
  <c r="AW186" i="1"/>
  <c r="AX186" i="1"/>
  <c r="AY186" i="1"/>
  <c r="AT207" i="1" l="1"/>
  <c r="AT205" i="1"/>
  <c r="AT203" i="1"/>
  <c r="AT219" i="1"/>
  <c r="AT212" i="1"/>
  <c r="AT221" i="1"/>
  <c r="AT204" i="1"/>
  <c r="AT209" i="1"/>
  <c r="AT224" i="1"/>
  <c r="AT216" i="1"/>
  <c r="AT223" i="1"/>
  <c r="AT229" i="1"/>
  <c r="AT228" i="1"/>
  <c r="AT211" i="1"/>
  <c r="AT195" i="1"/>
  <c r="AT196" i="1"/>
  <c r="AT197" i="1"/>
  <c r="AT190" i="1"/>
  <c r="AT189" i="1"/>
  <c r="AT194" i="1"/>
  <c r="AT193" i="1"/>
  <c r="AT192" i="1"/>
  <c r="AT191" i="1"/>
  <c r="AT198" i="1"/>
  <c r="AT185" i="1"/>
  <c r="AT177" i="1"/>
  <c r="AT161" i="1"/>
  <c r="AT178" i="1" l="1"/>
  <c r="AT181" i="1"/>
  <c r="AT162" i="1"/>
  <c r="AT188" i="1"/>
  <c r="AT187" i="1"/>
  <c r="AT166" i="1"/>
  <c r="AT167" i="1"/>
  <c r="AT170" i="1"/>
  <c r="AT163" i="1"/>
  <c r="AT173" i="1"/>
  <c r="AT186" i="1"/>
  <c r="AT174" i="1"/>
  <c r="AT182" i="1"/>
  <c r="AT179" i="1"/>
  <c r="AT184" i="1"/>
  <c r="AT165" i="1"/>
  <c r="AT164" i="1"/>
  <c r="AT183" i="1"/>
  <c r="AT169" i="1"/>
  <c r="AT168" i="1"/>
  <c r="AT172" i="1"/>
  <c r="AT171" i="1"/>
  <c r="AT176" i="1"/>
  <c r="AT180" i="1"/>
  <c r="AT175" i="1"/>
  <c r="AU2" i="1"/>
  <c r="AT2" i="1"/>
  <c r="AQ188" i="1" l="1"/>
  <c r="AQ187" i="1"/>
  <c r="AQ181" i="1"/>
  <c r="AQ174" i="1"/>
  <c r="AQ169" i="1"/>
  <c r="AQ157" i="1"/>
  <c r="AQ185" i="1"/>
  <c r="AQ166" i="1"/>
  <c r="AQ173" i="1"/>
  <c r="AQ182" i="1"/>
  <c r="AQ163" i="1"/>
  <c r="AQ162" i="1"/>
  <c r="AQ158" i="1"/>
  <c r="AQ168" i="1"/>
  <c r="AQ160" i="1"/>
  <c r="AQ161" i="1"/>
  <c r="AQ167" i="1"/>
  <c r="AQ175" i="1"/>
  <c r="AQ186" i="1"/>
  <c r="AQ170" i="1"/>
  <c r="AQ164" i="1"/>
  <c r="AQ184" i="1"/>
  <c r="AQ179" i="1"/>
  <c r="AQ165" i="1"/>
  <c r="AQ176" i="1"/>
  <c r="AQ180" i="1"/>
  <c r="AQ172" i="1"/>
  <c r="AQ183" i="1"/>
  <c r="AQ159" i="1"/>
  <c r="AQ156" i="1"/>
  <c r="AQ171" i="1"/>
  <c r="AQ178" i="1"/>
  <c r="AQ177" i="1"/>
  <c r="AT160" i="1"/>
  <c r="AT157" i="1"/>
  <c r="AT11" i="1"/>
  <c r="AQ97" i="1"/>
  <c r="AQ89" i="1"/>
  <c r="AQ113" i="1"/>
  <c r="AQ120" i="1"/>
  <c r="AQ136" i="1"/>
  <c r="AQ128" i="1"/>
  <c r="AQ144" i="1"/>
  <c r="AQ70" i="1"/>
  <c r="AQ6" i="1"/>
  <c r="AQ134" i="1"/>
  <c r="AQ66" i="1"/>
  <c r="AQ102" i="1"/>
  <c r="AQ112" i="1"/>
  <c r="AQ50" i="1"/>
  <c r="AQ150" i="1"/>
  <c r="AQ88" i="1"/>
  <c r="AQ80" i="1"/>
  <c r="AQ126" i="1"/>
  <c r="AQ64" i="1"/>
  <c r="AQ149" i="1"/>
  <c r="AQ24" i="1"/>
  <c r="AQ94" i="1"/>
  <c r="AQ16" i="1"/>
  <c r="AQ8" i="1"/>
  <c r="AQ33" i="1"/>
  <c r="AQ118" i="1"/>
  <c r="AQ110" i="1"/>
  <c r="AQ32" i="1"/>
  <c r="AQ133" i="1"/>
  <c r="AQ86" i="1"/>
  <c r="AQ148" i="1"/>
  <c r="AQ140" i="1"/>
  <c r="AQ117" i="1"/>
  <c r="AQ78" i="1"/>
  <c r="AQ34" i="1"/>
  <c r="AQ40" i="1"/>
  <c r="AQ54" i="1"/>
  <c r="AQ108" i="1"/>
  <c r="AQ131" i="1"/>
  <c r="AQ100" i="1"/>
  <c r="AQ92" i="1"/>
  <c r="AQ69" i="1"/>
  <c r="AQ14" i="1"/>
  <c r="AQ142" i="1"/>
  <c r="AQ48" i="1"/>
  <c r="AQ15" i="1"/>
  <c r="AQ22" i="1"/>
  <c r="AQ146" i="1"/>
  <c r="AQ115" i="1"/>
  <c r="AQ84" i="1"/>
  <c r="AQ76" i="1"/>
  <c r="AQ53" i="1"/>
  <c r="AQ37" i="1"/>
  <c r="AQ23" i="1"/>
  <c r="AQ96" i="1"/>
  <c r="AQ72" i="1"/>
  <c r="AQ124" i="1"/>
  <c r="AQ147" i="1"/>
  <c r="AQ153" i="1"/>
  <c r="AQ130" i="1"/>
  <c r="AQ99" i="1"/>
  <c r="AQ68" i="1"/>
  <c r="AQ60" i="1"/>
  <c r="AQ21" i="1"/>
  <c r="AQ104" i="1"/>
  <c r="AQ65" i="1"/>
  <c r="AQ101" i="1"/>
  <c r="AQ62" i="1"/>
  <c r="AQ116" i="1"/>
  <c r="AQ145" i="1"/>
  <c r="AQ137" i="1"/>
  <c r="AQ114" i="1"/>
  <c r="AQ52" i="1"/>
  <c r="AQ44" i="1"/>
  <c r="AQ36" i="1"/>
  <c r="AQ28" i="1"/>
  <c r="AQ2" i="1"/>
  <c r="AQ81" i="1"/>
  <c r="AQ49" i="1"/>
  <c r="AQ151" i="1"/>
  <c r="AQ132" i="1"/>
  <c r="AQ7" i="1"/>
  <c r="AQ85" i="1"/>
  <c r="AQ46" i="1"/>
  <c r="AQ30" i="1"/>
  <c r="AQ152" i="1"/>
  <c r="AQ129" i="1"/>
  <c r="AQ121" i="1"/>
  <c r="AQ98" i="1"/>
  <c r="AQ20" i="1"/>
  <c r="AQ12" i="1"/>
  <c r="AQ105" i="1"/>
  <c r="AQ82" i="1"/>
  <c r="AQ4" i="1"/>
  <c r="AQ3" i="1"/>
  <c r="AQ56" i="1"/>
  <c r="AQ154" i="1"/>
  <c r="AQ125" i="1"/>
  <c r="AQ17" i="1"/>
  <c r="AQ38" i="1"/>
  <c r="AQ91" i="1"/>
  <c r="AQ75" i="1"/>
  <c r="AQ43" i="1"/>
  <c r="AQ11" i="1"/>
  <c r="AQ59" i="1"/>
  <c r="AQ155" i="1"/>
  <c r="AQ27" i="1"/>
  <c r="AQ5" i="1"/>
  <c r="AQ10" i="1"/>
  <c r="AQ106" i="1"/>
  <c r="AQ58" i="1"/>
  <c r="AQ143" i="1"/>
  <c r="AQ127" i="1"/>
  <c r="AQ111" i="1"/>
  <c r="AQ95" i="1"/>
  <c r="AQ79" i="1"/>
  <c r="AQ63" i="1"/>
  <c r="AQ47" i="1"/>
  <c r="AQ31" i="1"/>
  <c r="AQ122" i="1"/>
  <c r="AQ42" i="1"/>
  <c r="AQ26" i="1"/>
  <c r="AQ73" i="1"/>
  <c r="AQ57" i="1"/>
  <c r="AQ41" i="1"/>
  <c r="AQ25" i="1"/>
  <c r="AQ9" i="1"/>
  <c r="AQ74" i="1"/>
  <c r="AQ83" i="1"/>
  <c r="AQ67" i="1"/>
  <c r="AQ51" i="1"/>
  <c r="AQ35" i="1"/>
  <c r="AQ19" i="1"/>
  <c r="AQ139" i="1"/>
  <c r="AQ90" i="1"/>
  <c r="AQ109" i="1"/>
  <c r="AQ93" i="1"/>
  <c r="AQ77" i="1"/>
  <c r="AQ61" i="1"/>
  <c r="AQ45" i="1"/>
  <c r="AQ29" i="1"/>
  <c r="AQ13" i="1"/>
  <c r="AQ107" i="1"/>
  <c r="AQ18" i="1"/>
  <c r="AQ138" i="1"/>
  <c r="AQ141" i="1"/>
  <c r="AQ135" i="1"/>
  <c r="AQ119" i="1"/>
  <c r="AQ103" i="1"/>
  <c r="AQ87" i="1"/>
  <c r="AQ71" i="1"/>
  <c r="AQ55" i="1"/>
  <c r="AQ39" i="1"/>
  <c r="AQ123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2" i="1"/>
  <c r="AT159" i="1" l="1"/>
  <c r="AT151" i="1"/>
  <c r="AT158" i="1"/>
  <c r="AT156" i="1"/>
  <c r="AT99" i="1"/>
  <c r="AT83" i="1"/>
  <c r="AT98" i="1"/>
  <c r="AT82" i="1"/>
  <c r="AT66" i="1"/>
  <c r="AT50" i="1"/>
  <c r="AT32" i="1"/>
  <c r="AT143" i="1"/>
  <c r="AT127" i="1"/>
  <c r="AT111" i="1"/>
  <c r="AT95" i="1"/>
  <c r="AT31" i="1"/>
  <c r="AT15" i="1"/>
  <c r="AT36" i="1"/>
  <c r="AT142" i="1"/>
  <c r="AT126" i="1"/>
  <c r="AT110" i="1"/>
  <c r="AT94" i="1"/>
  <c r="AT78" i="1"/>
  <c r="AT30" i="1"/>
  <c r="AT14" i="1"/>
  <c r="AT68" i="1"/>
  <c r="AT49" i="1"/>
  <c r="AT61" i="1"/>
  <c r="AT45" i="1"/>
  <c r="AT29" i="1"/>
  <c r="AT13" i="1"/>
  <c r="AT108" i="1"/>
  <c r="AT44" i="1"/>
  <c r="AT28" i="1"/>
  <c r="AT12" i="1"/>
  <c r="AT100" i="1"/>
  <c r="AT16" i="1"/>
  <c r="AT155" i="1"/>
  <c r="AT139" i="1"/>
  <c r="AT59" i="1"/>
  <c r="AT27" i="1"/>
  <c r="AT154" i="1"/>
  <c r="AT138" i="1"/>
  <c r="AT122" i="1"/>
  <c r="AT106" i="1"/>
  <c r="AT90" i="1"/>
  <c r="AT26" i="1"/>
  <c r="AT10" i="1"/>
  <c r="AT41" i="1"/>
  <c r="AT152" i="1"/>
  <c r="AT72" i="1"/>
  <c r="AT24" i="1"/>
  <c r="AT71" i="1"/>
  <c r="AT55" i="1"/>
  <c r="AT39" i="1"/>
  <c r="AT23" i="1"/>
  <c r="AT25" i="1"/>
  <c r="AT56" i="1"/>
  <c r="AT8" i="1"/>
  <c r="AT150" i="1"/>
  <c r="AT134" i="1"/>
  <c r="AT54" i="1"/>
  <c r="AT38" i="1"/>
  <c r="AT22" i="1"/>
  <c r="AT40" i="1"/>
  <c r="AT149" i="1"/>
  <c r="AT133" i="1"/>
  <c r="AT117" i="1"/>
  <c r="AT101" i="1"/>
  <c r="AT85" i="1"/>
  <c r="AT69" i="1"/>
  <c r="AT53" i="1"/>
  <c r="AT37" i="1"/>
  <c r="AT21" i="1"/>
  <c r="AT3" i="1"/>
  <c r="AT5" i="1"/>
  <c r="AT4" i="1"/>
  <c r="AT118" i="1" l="1"/>
  <c r="AT135" i="1"/>
  <c r="AT74" i="1"/>
  <c r="AT97" i="1"/>
  <c r="AT62" i="1"/>
  <c r="AT79" i="1"/>
  <c r="AT104" i="1"/>
  <c r="AT88" i="1"/>
  <c r="AT120" i="1"/>
  <c r="AT77" i="1"/>
  <c r="AT130" i="1"/>
  <c r="AT136" i="1"/>
  <c r="AT96" i="1"/>
  <c r="AT93" i="1"/>
  <c r="AT80" i="1"/>
  <c r="AT146" i="1"/>
  <c r="AT114" i="1"/>
  <c r="AT9" i="1"/>
  <c r="AT89" i="1"/>
  <c r="AT73" i="1"/>
  <c r="AT17" i="1"/>
  <c r="AT109" i="1"/>
  <c r="AT64" i="1"/>
  <c r="AT144" i="1"/>
  <c r="AT19" i="1"/>
  <c r="AT7" i="1"/>
  <c r="AT57" i="1"/>
  <c r="AT148" i="1"/>
  <c r="AT153" i="1"/>
  <c r="AT132" i="1"/>
  <c r="AT60" i="1"/>
  <c r="AT125" i="1"/>
  <c r="AT112" i="1"/>
  <c r="AT65" i="1"/>
  <c r="AT35" i="1"/>
  <c r="AT6" i="1"/>
  <c r="AT137" i="1"/>
  <c r="AT105" i="1"/>
  <c r="AT76" i="1"/>
  <c r="AT141" i="1"/>
  <c r="AT33" i="1"/>
  <c r="AT145" i="1"/>
  <c r="AT51" i="1"/>
  <c r="AT81" i="1"/>
  <c r="AT121" i="1"/>
  <c r="AT43" i="1"/>
  <c r="AT92" i="1"/>
  <c r="AT113" i="1"/>
  <c r="AT52" i="1"/>
  <c r="AT67" i="1"/>
  <c r="AT75" i="1"/>
  <c r="AT70" i="1"/>
  <c r="AT87" i="1"/>
  <c r="AT91" i="1"/>
  <c r="AT140" i="1"/>
  <c r="AT84" i="1"/>
  <c r="AT115" i="1"/>
  <c r="AT116" i="1"/>
  <c r="AT129" i="1"/>
  <c r="AT124" i="1"/>
  <c r="AT86" i="1"/>
  <c r="AT103" i="1"/>
  <c r="AT42" i="1"/>
  <c r="AT107" i="1"/>
  <c r="AT48" i="1"/>
  <c r="AT47" i="1"/>
  <c r="AT18" i="1"/>
  <c r="AT131" i="1"/>
  <c r="AT20" i="1"/>
  <c r="AT102" i="1"/>
  <c r="AT119" i="1"/>
  <c r="AT58" i="1"/>
  <c r="AT123" i="1"/>
  <c r="AT128" i="1"/>
  <c r="AT46" i="1"/>
  <c r="AT63" i="1"/>
  <c r="AT34" i="1"/>
  <c r="AT147" i="1"/>
</calcChain>
</file>

<file path=xl/sharedStrings.xml><?xml version="1.0" encoding="utf-8"?>
<sst xmlns="http://schemas.openxmlformats.org/spreadsheetml/2006/main" count="1202" uniqueCount="66">
  <si>
    <t>Direction</t>
  </si>
  <si>
    <t>PosTol</t>
  </si>
  <si>
    <t>VelTol</t>
  </si>
  <si>
    <t>isBusy</t>
  </si>
  <si>
    <t>isTargetReached</t>
  </si>
  <si>
    <t>isStrategyStopped</t>
  </si>
  <si>
    <t>mpVmax</t>
  </si>
  <si>
    <t>mpAmax</t>
  </si>
  <si>
    <t>mpDmax</t>
  </si>
  <si>
    <t>Kp</t>
  </si>
  <si>
    <t>Ki</t>
  </si>
  <si>
    <t>Kd</t>
  </si>
  <si>
    <t>Time</t>
  </si>
  <si>
    <t>TimeEndMP</t>
  </si>
  <si>
    <t>TimePExtract</t>
  </si>
  <si>
    <t>TimeVextract</t>
  </si>
  <si>
    <t>TimeCExtract</t>
  </si>
  <si>
    <t>TimeOtherExtract</t>
  </si>
  <si>
    <t>TimeCycle</t>
  </si>
  <si>
    <t>Position</t>
  </si>
  <si>
    <t>UltimateTarget</t>
  </si>
  <si>
    <t>ImmediateTarget</t>
  </si>
  <si>
    <t>minMovePower</t>
  </si>
  <si>
    <t>powerP</t>
  </si>
  <si>
    <t>powerI</t>
  </si>
  <si>
    <t>powerD</t>
  </si>
  <si>
    <t>Power</t>
  </si>
  <si>
    <t>Velocity</t>
  </si>
  <si>
    <t>Vavg</t>
  </si>
  <si>
    <t>A</t>
  </si>
  <si>
    <t>Aavg</t>
  </si>
  <si>
    <t>ApredFun</t>
  </si>
  <si>
    <t>ApredLut</t>
  </si>
  <si>
    <t>C</t>
  </si>
  <si>
    <t>I-Target-Norm</t>
  </si>
  <si>
    <t>Accel</t>
  </si>
  <si>
    <t>Cruising</t>
  </si>
  <si>
    <t>Decel</t>
  </si>
  <si>
    <t>End</t>
  </si>
  <si>
    <t>At Target</t>
  </si>
  <si>
    <t>Relative-Error</t>
  </si>
  <si>
    <t>Error Speed</t>
  </si>
  <si>
    <t>Err Speed Avg</t>
  </si>
  <si>
    <t>Catch-up (100ms)</t>
  </si>
  <si>
    <t>Im-Error</t>
  </si>
  <si>
    <t>Pos-Norm</t>
  </si>
  <si>
    <t>MotorProfileState</t>
  </si>
  <si>
    <t>MotionProfileState</t>
  </si>
  <si>
    <t>FBControllerState</t>
  </si>
  <si>
    <t>timeToUltimateTarget</t>
  </si>
  <si>
    <t>dError</t>
  </si>
  <si>
    <t>PowerStrategyState</t>
  </si>
  <si>
    <t>Profile-Seeking</t>
  </si>
  <si>
    <t>ACCELERATION</t>
  </si>
  <si>
    <t>STARTING</t>
  </si>
  <si>
    <t>FORWARD</t>
  </si>
  <si>
    <t>CRUISING</t>
  </si>
  <si>
    <t>Profile-Seeking-Vss</t>
  </si>
  <si>
    <t>BRAKING</t>
  </si>
  <si>
    <t>Profile-Seeking-Ass</t>
  </si>
  <si>
    <t>DECELERATION</t>
  </si>
  <si>
    <t>REVERSING</t>
  </si>
  <si>
    <t>END</t>
  </si>
  <si>
    <t>Profile-Seeking-Target</t>
  </si>
  <si>
    <t>Profile-EndSamples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</si>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</sst>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8641EB"/>
      <color rgb="FF5814BC"/>
      <color rgb="FFEE6CDB"/>
      <color rgb="FFBA16A3"/>
      <color rgb="FF92028B"/>
      <color rgb="FFFF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- Kp=0.005</a:t>
            </a:r>
            <a:r>
              <a:rPr lang="en-US" baseline="0"/>
              <a:t> Ki=0.001 Kd=0.2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31112037046923E-2"/>
          <c:y val="6.515672782874618E-2"/>
          <c:w val="0.92872715876594125"/>
          <c:h val="0.82107202196055773"/>
        </c:manualLayout>
      </c:layout>
      <c:barChart>
        <c:barDir val="col"/>
        <c:grouping val="clustered"/>
        <c:varyColors val="0"/>
        <c:ser>
          <c:idx val="5"/>
          <c:order val="6"/>
          <c:tx>
            <c:strRef>
              <c:f>Data!$AV$1</c:f>
              <c:strCache>
                <c:ptCount val="1"/>
                <c:pt idx="0">
                  <c:v>Accel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Data!$AV$2:$AV$231</c:f>
              <c:numCache>
                <c:formatCode>General</c:formatCode>
                <c:ptCount val="23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F3-4749-B433-99EFB690A6C4}"/>
            </c:ext>
          </c:extLst>
        </c:ser>
        <c:ser>
          <c:idx val="6"/>
          <c:order val="7"/>
          <c:tx>
            <c:strRef>
              <c:f>Data!$AW$1</c:f>
              <c:strCache>
                <c:ptCount val="1"/>
                <c:pt idx="0">
                  <c:v>Cruising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Data!$AW$2:$AW$231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F3-4749-B433-99EFB690A6C4}"/>
            </c:ext>
          </c:extLst>
        </c:ser>
        <c:ser>
          <c:idx val="7"/>
          <c:order val="8"/>
          <c:tx>
            <c:strRef>
              <c:f>Data!$AX$1</c:f>
              <c:strCache>
                <c:ptCount val="1"/>
                <c:pt idx="0">
                  <c:v>Decel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Data!$AX$2:$AX$231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F3-4749-B433-99EFB690A6C4}"/>
            </c:ext>
          </c:extLst>
        </c:ser>
        <c:ser>
          <c:idx val="8"/>
          <c:order val="9"/>
          <c:tx>
            <c:strRef>
              <c:f>Data!$AY$1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Data!$AY$2:$AY$231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0F3-4749-B433-99EFB690A6C4}"/>
            </c:ext>
          </c:extLst>
        </c:ser>
        <c:ser>
          <c:idx val="9"/>
          <c:order val="10"/>
          <c:tx>
            <c:strRef>
              <c:f>Data!$AZ$1</c:f>
              <c:strCache>
                <c:ptCount val="1"/>
                <c:pt idx="0">
                  <c:v>At Target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Data!$AZ$2:$AZ$231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</c:v>
                </c:pt>
                <c:pt idx="160">
                  <c:v>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</c:v>
                </c:pt>
                <c:pt idx="172">
                  <c:v>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0</c:v>
                </c:pt>
                <c:pt idx="214">
                  <c:v>0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0F3-4749-B433-99EFB690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6279087"/>
        <c:axId val="976282927"/>
      </c:barChart>
      <c:lineChart>
        <c:grouping val="standard"/>
        <c:varyColors val="0"/>
        <c:ser>
          <c:idx val="1"/>
          <c:order val="0"/>
          <c:tx>
            <c:strRef>
              <c:f>Data!$AD$1</c:f>
              <c:strCache>
                <c:ptCount val="1"/>
                <c:pt idx="0">
                  <c:v>powerP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Data!$AD$2:$AD$231</c:f>
              <c:numCache>
                <c:formatCode>General</c:formatCode>
                <c:ptCount val="230"/>
                <c:pt idx="0">
                  <c:v>0</c:v>
                </c:pt>
                <c:pt idx="1">
                  <c:v>0.05</c:v>
                </c:pt>
                <c:pt idx="2">
                  <c:v>0.16</c:v>
                </c:pt>
                <c:pt idx="3">
                  <c:v>0.32500000000000001</c:v>
                </c:pt>
                <c:pt idx="4">
                  <c:v>0.53</c:v>
                </c:pt>
                <c:pt idx="5">
                  <c:v>0.71499999999999997</c:v>
                </c:pt>
                <c:pt idx="6">
                  <c:v>0.86</c:v>
                </c:pt>
                <c:pt idx="7">
                  <c:v>0.98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0.87</c:v>
                </c:pt>
                <c:pt idx="148">
                  <c:v>0.69</c:v>
                </c:pt>
                <c:pt idx="149">
                  <c:v>0.51</c:v>
                </c:pt>
                <c:pt idx="150">
                  <c:v>0.33500000000000002</c:v>
                </c:pt>
                <c:pt idx="151">
                  <c:v>0.17</c:v>
                </c:pt>
                <c:pt idx="152">
                  <c:v>6.5000000000000002E-2</c:v>
                </c:pt>
                <c:pt idx="153">
                  <c:v>4.4999999999999998E-2</c:v>
                </c:pt>
                <c:pt idx="154">
                  <c:v>6.5000000000000002E-2</c:v>
                </c:pt>
                <c:pt idx="155">
                  <c:v>8.5000000000000006E-2</c:v>
                </c:pt>
                <c:pt idx="156">
                  <c:v>0.09</c:v>
                </c:pt>
                <c:pt idx="157">
                  <c:v>7.4999999999999997E-2</c:v>
                </c:pt>
                <c:pt idx="158">
                  <c:v>5.5E-2</c:v>
                </c:pt>
                <c:pt idx="159">
                  <c:v>3.5000000000000003E-2</c:v>
                </c:pt>
                <c:pt idx="160">
                  <c:v>0.01</c:v>
                </c:pt>
                <c:pt idx="161">
                  <c:v>-0.01</c:v>
                </c:pt>
                <c:pt idx="162">
                  <c:v>-2.5000000000000001E-2</c:v>
                </c:pt>
                <c:pt idx="163">
                  <c:v>-4.4999999999999998E-2</c:v>
                </c:pt>
                <c:pt idx="164">
                  <c:v>-0.06</c:v>
                </c:pt>
                <c:pt idx="165">
                  <c:v>-0.08</c:v>
                </c:pt>
                <c:pt idx="166">
                  <c:v>-8.5000000000000006E-2</c:v>
                </c:pt>
                <c:pt idx="167">
                  <c:v>-8.5000000000000006E-2</c:v>
                </c:pt>
                <c:pt idx="168">
                  <c:v>-0.08</c:v>
                </c:pt>
                <c:pt idx="169">
                  <c:v>-0.06</c:v>
                </c:pt>
                <c:pt idx="170">
                  <c:v>-4.4999999999999998E-2</c:v>
                </c:pt>
                <c:pt idx="171">
                  <c:v>-2.5000000000000001E-2</c:v>
                </c:pt>
                <c:pt idx="172">
                  <c:v>-0.01</c:v>
                </c:pt>
                <c:pt idx="173">
                  <c:v>0.01</c:v>
                </c:pt>
                <c:pt idx="174">
                  <c:v>2.5000000000000001E-2</c:v>
                </c:pt>
                <c:pt idx="175">
                  <c:v>3.5000000000000003E-2</c:v>
                </c:pt>
                <c:pt idx="176">
                  <c:v>0.05</c:v>
                </c:pt>
                <c:pt idx="177">
                  <c:v>0.06</c:v>
                </c:pt>
                <c:pt idx="178">
                  <c:v>6.5000000000000002E-2</c:v>
                </c:pt>
                <c:pt idx="179">
                  <c:v>6.5000000000000002E-2</c:v>
                </c:pt>
                <c:pt idx="180">
                  <c:v>0.06</c:v>
                </c:pt>
                <c:pt idx="181">
                  <c:v>5.5E-2</c:v>
                </c:pt>
                <c:pt idx="182">
                  <c:v>4.4999999999999998E-2</c:v>
                </c:pt>
                <c:pt idx="183">
                  <c:v>0.03</c:v>
                </c:pt>
                <c:pt idx="184">
                  <c:v>1.4999999999999999E-2</c:v>
                </c:pt>
                <c:pt idx="185">
                  <c:v>0</c:v>
                </c:pt>
                <c:pt idx="186">
                  <c:v>-1.4999999999999999E-2</c:v>
                </c:pt>
                <c:pt idx="187">
                  <c:v>-2.5000000000000001E-2</c:v>
                </c:pt>
                <c:pt idx="188">
                  <c:v>-3.5000000000000003E-2</c:v>
                </c:pt>
                <c:pt idx="189">
                  <c:v>-0.05</c:v>
                </c:pt>
                <c:pt idx="190">
                  <c:v>-5.5E-2</c:v>
                </c:pt>
                <c:pt idx="191">
                  <c:v>-0.06</c:v>
                </c:pt>
                <c:pt idx="192">
                  <c:v>-0.06</c:v>
                </c:pt>
                <c:pt idx="193">
                  <c:v>-5.5E-2</c:v>
                </c:pt>
                <c:pt idx="194">
                  <c:v>-0.05</c:v>
                </c:pt>
                <c:pt idx="195">
                  <c:v>-0.04</c:v>
                </c:pt>
                <c:pt idx="196">
                  <c:v>-2.5000000000000001E-2</c:v>
                </c:pt>
                <c:pt idx="197">
                  <c:v>-0.01</c:v>
                </c:pt>
                <c:pt idx="198">
                  <c:v>0</c:v>
                </c:pt>
                <c:pt idx="199">
                  <c:v>0.01</c:v>
                </c:pt>
                <c:pt idx="200">
                  <c:v>0.02</c:v>
                </c:pt>
                <c:pt idx="201">
                  <c:v>2.5000000000000001E-2</c:v>
                </c:pt>
                <c:pt idx="202">
                  <c:v>0.03</c:v>
                </c:pt>
                <c:pt idx="203">
                  <c:v>3.5000000000000003E-2</c:v>
                </c:pt>
                <c:pt idx="204">
                  <c:v>0.04</c:v>
                </c:pt>
                <c:pt idx="205">
                  <c:v>3.5000000000000003E-2</c:v>
                </c:pt>
                <c:pt idx="206">
                  <c:v>3.5000000000000003E-2</c:v>
                </c:pt>
                <c:pt idx="207">
                  <c:v>0.03</c:v>
                </c:pt>
                <c:pt idx="208">
                  <c:v>0.02</c:v>
                </c:pt>
                <c:pt idx="209">
                  <c:v>0.01</c:v>
                </c:pt>
                <c:pt idx="210">
                  <c:v>0</c:v>
                </c:pt>
                <c:pt idx="211">
                  <c:v>-0.01</c:v>
                </c:pt>
                <c:pt idx="212">
                  <c:v>-1.4999999999999999E-2</c:v>
                </c:pt>
                <c:pt idx="213">
                  <c:v>-0.02</c:v>
                </c:pt>
                <c:pt idx="214">
                  <c:v>-2.5000000000000001E-2</c:v>
                </c:pt>
                <c:pt idx="215">
                  <c:v>-2.5000000000000001E-2</c:v>
                </c:pt>
                <c:pt idx="216">
                  <c:v>-0.02</c:v>
                </c:pt>
                <c:pt idx="217">
                  <c:v>-0.02</c:v>
                </c:pt>
                <c:pt idx="218">
                  <c:v>-1.4999999999999999E-2</c:v>
                </c:pt>
                <c:pt idx="219">
                  <c:v>-1.4999999999999999E-2</c:v>
                </c:pt>
                <c:pt idx="220">
                  <c:v>-0.01</c:v>
                </c:pt>
                <c:pt idx="221">
                  <c:v>-0.01</c:v>
                </c:pt>
                <c:pt idx="222">
                  <c:v>-0.01</c:v>
                </c:pt>
                <c:pt idx="223">
                  <c:v>-0.01</c:v>
                </c:pt>
                <c:pt idx="224">
                  <c:v>-0.01</c:v>
                </c:pt>
                <c:pt idx="225">
                  <c:v>-0.01</c:v>
                </c:pt>
                <c:pt idx="226">
                  <c:v>-0.01</c:v>
                </c:pt>
                <c:pt idx="227">
                  <c:v>-0.01</c:v>
                </c:pt>
                <c:pt idx="228">
                  <c:v>-0.01</c:v>
                </c:pt>
                <c:pt idx="229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3-4749-B433-99EFB690A6C4}"/>
            </c:ext>
          </c:extLst>
        </c:ser>
        <c:ser>
          <c:idx val="13"/>
          <c:order val="1"/>
          <c:tx>
            <c:strRef>
              <c:f>Data!$AE$1</c:f>
              <c:strCache>
                <c:ptCount val="1"/>
                <c:pt idx="0">
                  <c:v>powerI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Data!$AE$2:$AE$231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0.08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0.08</c:v>
                </c:pt>
                <c:pt idx="141">
                  <c:v>0.08</c:v>
                </c:pt>
                <c:pt idx="142">
                  <c:v>0.08</c:v>
                </c:pt>
                <c:pt idx="143">
                  <c:v>0.08</c:v>
                </c:pt>
                <c:pt idx="144">
                  <c:v>0.08</c:v>
                </c:pt>
                <c:pt idx="145">
                  <c:v>0.08</c:v>
                </c:pt>
                <c:pt idx="146">
                  <c:v>0.08</c:v>
                </c:pt>
                <c:pt idx="147">
                  <c:v>0.08</c:v>
                </c:pt>
                <c:pt idx="148">
                  <c:v>0.08</c:v>
                </c:pt>
                <c:pt idx="149">
                  <c:v>0.08</c:v>
                </c:pt>
                <c:pt idx="150">
                  <c:v>0.08</c:v>
                </c:pt>
                <c:pt idx="151">
                  <c:v>0.08</c:v>
                </c:pt>
                <c:pt idx="152">
                  <c:v>0.08</c:v>
                </c:pt>
                <c:pt idx="153">
                  <c:v>7.9000000000000001E-2</c:v>
                </c:pt>
                <c:pt idx="154">
                  <c:v>7.9000000000000001E-2</c:v>
                </c:pt>
                <c:pt idx="155">
                  <c:v>7.9000000000000001E-2</c:v>
                </c:pt>
                <c:pt idx="156">
                  <c:v>7.9000000000000001E-2</c:v>
                </c:pt>
                <c:pt idx="157">
                  <c:v>7.9000000000000001E-2</c:v>
                </c:pt>
                <c:pt idx="158">
                  <c:v>7.9000000000000001E-2</c:v>
                </c:pt>
                <c:pt idx="159">
                  <c:v>7.5999999999999998E-2</c:v>
                </c:pt>
                <c:pt idx="160">
                  <c:v>6.8000000000000005E-2</c:v>
                </c:pt>
                <c:pt idx="161">
                  <c:v>5.7000000000000002E-2</c:v>
                </c:pt>
                <c:pt idx="162">
                  <c:v>4.2000000000000003E-2</c:v>
                </c:pt>
                <c:pt idx="163">
                  <c:v>2.3E-2</c:v>
                </c:pt>
                <c:pt idx="164">
                  <c:v>3.0000000000000001E-3</c:v>
                </c:pt>
                <c:pt idx="165">
                  <c:v>-1.7000000000000001E-2</c:v>
                </c:pt>
                <c:pt idx="166">
                  <c:v>-3.6999999999999998E-2</c:v>
                </c:pt>
                <c:pt idx="167">
                  <c:v>-5.3999999999999999E-2</c:v>
                </c:pt>
                <c:pt idx="168">
                  <c:v>-6.6000000000000003E-2</c:v>
                </c:pt>
                <c:pt idx="169">
                  <c:v>-7.3999999999999996E-2</c:v>
                </c:pt>
                <c:pt idx="170">
                  <c:v>-7.8E-2</c:v>
                </c:pt>
                <c:pt idx="171">
                  <c:v>-7.3999999999999996E-2</c:v>
                </c:pt>
                <c:pt idx="172">
                  <c:v>-6.6000000000000003E-2</c:v>
                </c:pt>
                <c:pt idx="173">
                  <c:v>-5.3999999999999999E-2</c:v>
                </c:pt>
                <c:pt idx="174">
                  <c:v>-3.9E-2</c:v>
                </c:pt>
                <c:pt idx="175">
                  <c:v>-2.1999999999999999E-2</c:v>
                </c:pt>
                <c:pt idx="176">
                  <c:v>-2E-3</c:v>
                </c:pt>
                <c:pt idx="177">
                  <c:v>1.7999999999999999E-2</c:v>
                </c:pt>
                <c:pt idx="178">
                  <c:v>3.6999999999999998E-2</c:v>
                </c:pt>
                <c:pt idx="179">
                  <c:v>5.1999999999999998E-2</c:v>
                </c:pt>
                <c:pt idx="180">
                  <c:v>6.4000000000000001E-2</c:v>
                </c:pt>
                <c:pt idx="181">
                  <c:v>7.1999999999999995E-2</c:v>
                </c:pt>
                <c:pt idx="182">
                  <c:v>7.5999999999999998E-2</c:v>
                </c:pt>
                <c:pt idx="183">
                  <c:v>7.4999999999999997E-2</c:v>
                </c:pt>
                <c:pt idx="184">
                  <c:v>6.8000000000000005E-2</c:v>
                </c:pt>
                <c:pt idx="185">
                  <c:v>5.8000000000000003E-2</c:v>
                </c:pt>
                <c:pt idx="186">
                  <c:v>4.4999999999999998E-2</c:v>
                </c:pt>
                <c:pt idx="187">
                  <c:v>0.03</c:v>
                </c:pt>
                <c:pt idx="188">
                  <c:v>1.2999999999999999E-2</c:v>
                </c:pt>
                <c:pt idx="189">
                  <c:v>-7.0000000000000001E-3</c:v>
                </c:pt>
                <c:pt idx="190">
                  <c:v>-2.5999999999999999E-2</c:v>
                </c:pt>
                <c:pt idx="191">
                  <c:v>-4.2000000000000003E-2</c:v>
                </c:pt>
                <c:pt idx="192">
                  <c:v>-5.5E-2</c:v>
                </c:pt>
                <c:pt idx="193">
                  <c:v>-6.5000000000000002E-2</c:v>
                </c:pt>
                <c:pt idx="194">
                  <c:v>-7.1999999999999995E-2</c:v>
                </c:pt>
                <c:pt idx="195">
                  <c:v>-7.4999999999999997E-2</c:v>
                </c:pt>
                <c:pt idx="196">
                  <c:v>-7.2999999999999995E-2</c:v>
                </c:pt>
                <c:pt idx="197">
                  <c:v>-6.5000000000000002E-2</c:v>
                </c:pt>
                <c:pt idx="198">
                  <c:v>-5.5E-2</c:v>
                </c:pt>
                <c:pt idx="199">
                  <c:v>-4.2999999999999997E-2</c:v>
                </c:pt>
                <c:pt idx="200">
                  <c:v>-2.9000000000000001E-2</c:v>
                </c:pt>
                <c:pt idx="201">
                  <c:v>-1.4E-2</c:v>
                </c:pt>
                <c:pt idx="202">
                  <c:v>2E-3</c:v>
                </c:pt>
                <c:pt idx="203">
                  <c:v>1.7000000000000001E-2</c:v>
                </c:pt>
                <c:pt idx="204">
                  <c:v>0.03</c:v>
                </c:pt>
                <c:pt idx="205">
                  <c:v>3.9E-2</c:v>
                </c:pt>
                <c:pt idx="206">
                  <c:v>4.5999999999999999E-2</c:v>
                </c:pt>
                <c:pt idx="207">
                  <c:v>0.05</c:v>
                </c:pt>
                <c:pt idx="208">
                  <c:v>0.05</c:v>
                </c:pt>
                <c:pt idx="209">
                  <c:v>4.7E-2</c:v>
                </c:pt>
                <c:pt idx="210">
                  <c:v>4.1000000000000002E-2</c:v>
                </c:pt>
                <c:pt idx="211">
                  <c:v>3.2000000000000001E-2</c:v>
                </c:pt>
                <c:pt idx="212">
                  <c:v>2.1000000000000001E-2</c:v>
                </c:pt>
                <c:pt idx="213">
                  <c:v>0.01</c:v>
                </c:pt>
                <c:pt idx="214">
                  <c:v>-2E-3</c:v>
                </c:pt>
                <c:pt idx="215">
                  <c:v>-1.2999999999999999E-2</c:v>
                </c:pt>
                <c:pt idx="216">
                  <c:v>-2.1000000000000001E-2</c:v>
                </c:pt>
                <c:pt idx="217">
                  <c:v>-2.7E-2</c:v>
                </c:pt>
                <c:pt idx="218">
                  <c:v>-0.03</c:v>
                </c:pt>
                <c:pt idx="219">
                  <c:v>-3.1E-2</c:v>
                </c:pt>
                <c:pt idx="220">
                  <c:v>-0.03</c:v>
                </c:pt>
                <c:pt idx="221">
                  <c:v>-0.03</c:v>
                </c:pt>
                <c:pt idx="222">
                  <c:v>-0.03</c:v>
                </c:pt>
                <c:pt idx="223">
                  <c:v>-0.03</c:v>
                </c:pt>
                <c:pt idx="224">
                  <c:v>-0.03</c:v>
                </c:pt>
                <c:pt idx="225">
                  <c:v>-0.03</c:v>
                </c:pt>
                <c:pt idx="226">
                  <c:v>-0.03</c:v>
                </c:pt>
                <c:pt idx="227">
                  <c:v>-0.03</c:v>
                </c:pt>
                <c:pt idx="228">
                  <c:v>-0.03</c:v>
                </c:pt>
                <c:pt idx="229">
                  <c:v>-0.03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2-4B8C-B2FA-E6C9DFB50461}"/>
            </c:ext>
          </c:extLst>
        </c:ser>
        <c:ser>
          <c:idx val="2"/>
          <c:order val="2"/>
          <c:tx>
            <c:strRef>
              <c:f>Data!$AF$1</c:f>
              <c:strCache>
                <c:ptCount val="1"/>
                <c:pt idx="0">
                  <c:v>powerD</c:v>
                </c:pt>
              </c:strCache>
            </c:strRef>
          </c:tx>
          <c:spPr>
            <a:ln w="38100" cap="rnd">
              <a:solidFill>
                <a:srgbClr val="8641EB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Data!$AF$2:$AF$231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-2.7779999999999999E-2</c:v>
                </c:pt>
                <c:pt idx="141">
                  <c:v>-4.4549999999999999E-2</c:v>
                </c:pt>
                <c:pt idx="142">
                  <c:v>-0.14602000000000001</c:v>
                </c:pt>
                <c:pt idx="143">
                  <c:v>-0.27815000000000001</c:v>
                </c:pt>
                <c:pt idx="144">
                  <c:v>-0.40950999999999999</c:v>
                </c:pt>
                <c:pt idx="145">
                  <c:v>-0.47955999999999999</c:v>
                </c:pt>
                <c:pt idx="146">
                  <c:v>-0.49654999999999999</c:v>
                </c:pt>
                <c:pt idx="147">
                  <c:v>-0.48499999999999999</c:v>
                </c:pt>
                <c:pt idx="148">
                  <c:v>-0.46890999999999999</c:v>
                </c:pt>
                <c:pt idx="149">
                  <c:v>-0.46809000000000001</c:v>
                </c:pt>
                <c:pt idx="150">
                  <c:v>-0.46276</c:v>
                </c:pt>
                <c:pt idx="151">
                  <c:v>-0.44035999999999997</c:v>
                </c:pt>
                <c:pt idx="152">
                  <c:v>-0.34131</c:v>
                </c:pt>
                <c:pt idx="153">
                  <c:v>-0.14788999999999999</c:v>
                </c:pt>
                <c:pt idx="154">
                  <c:v>-9.3999999999999997E-4</c:v>
                </c:pt>
                <c:pt idx="155">
                  <c:v>-4.9349999999999998E-2</c:v>
                </c:pt>
                <c:pt idx="156">
                  <c:v>-2.8549999999999999E-2</c:v>
                </c:pt>
                <c:pt idx="157">
                  <c:v>-1.227E-2</c:v>
                </c:pt>
                <c:pt idx="158">
                  <c:v>-4.5990000000000003E-2</c:v>
                </c:pt>
                <c:pt idx="159">
                  <c:v>-5.2049999999999999E-2</c:v>
                </c:pt>
                <c:pt idx="160">
                  <c:v>-5.6739999999999999E-2</c:v>
                </c:pt>
                <c:pt idx="161">
                  <c:v>5.9229999999999998E-2</c:v>
                </c:pt>
                <c:pt idx="162">
                  <c:v>4.6690000000000002E-2</c:v>
                </c:pt>
                <c:pt idx="163">
                  <c:v>4.6730000000000001E-2</c:v>
                </c:pt>
                <c:pt idx="164">
                  <c:v>4.2340000000000003E-2</c:v>
                </c:pt>
                <c:pt idx="165">
                  <c:v>4.2689999999999999E-2</c:v>
                </c:pt>
                <c:pt idx="166">
                  <c:v>3.3180000000000001E-2</c:v>
                </c:pt>
                <c:pt idx="167">
                  <c:v>6.5100000000000002E-3</c:v>
                </c:pt>
                <c:pt idx="168">
                  <c:v>6.5100000000000002E-3</c:v>
                </c:pt>
                <c:pt idx="169">
                  <c:v>3.4869999999999998E-2</c:v>
                </c:pt>
                <c:pt idx="170">
                  <c:v>4.8129999999999999E-2</c:v>
                </c:pt>
                <c:pt idx="171">
                  <c:v>4.9110000000000001E-2</c:v>
                </c:pt>
                <c:pt idx="172">
                  <c:v>5.0729999999999997E-2</c:v>
                </c:pt>
                <c:pt idx="173">
                  <c:v>-4.8399999999999999E-2</c:v>
                </c:pt>
                <c:pt idx="174">
                  <c:v>-4.5769999999999998E-2</c:v>
                </c:pt>
                <c:pt idx="175">
                  <c:v>-3.295E-2</c:v>
                </c:pt>
                <c:pt idx="176">
                  <c:v>-3.5959999999999999E-2</c:v>
                </c:pt>
                <c:pt idx="177">
                  <c:v>-3.6880000000000003E-2</c:v>
                </c:pt>
                <c:pt idx="178">
                  <c:v>-2.256E-2</c:v>
                </c:pt>
                <c:pt idx="179">
                  <c:v>-7.4400000000000004E-3</c:v>
                </c:pt>
                <c:pt idx="180">
                  <c:v>-7.4900000000000001E-3</c:v>
                </c:pt>
                <c:pt idx="181">
                  <c:v>-1.4970000000000001E-2</c:v>
                </c:pt>
                <c:pt idx="182">
                  <c:v>-2.2429999999999999E-2</c:v>
                </c:pt>
                <c:pt idx="183">
                  <c:v>-3.739E-2</c:v>
                </c:pt>
                <c:pt idx="184">
                  <c:v>-4.2729999999999997E-2</c:v>
                </c:pt>
                <c:pt idx="185">
                  <c:v>-4.215E-2</c:v>
                </c:pt>
                <c:pt idx="186">
                  <c:v>4.0070000000000001E-2</c:v>
                </c:pt>
                <c:pt idx="187">
                  <c:v>3.1530000000000002E-2</c:v>
                </c:pt>
                <c:pt idx="188">
                  <c:v>2.5909999999999999E-2</c:v>
                </c:pt>
                <c:pt idx="189">
                  <c:v>2.835E-2</c:v>
                </c:pt>
                <c:pt idx="190">
                  <c:v>2.2839999999999999E-2</c:v>
                </c:pt>
                <c:pt idx="191">
                  <c:v>1.472E-2</c:v>
                </c:pt>
                <c:pt idx="192">
                  <c:v>7.6400000000000001E-3</c:v>
                </c:pt>
                <c:pt idx="193">
                  <c:v>6.8300000000000001E-3</c:v>
                </c:pt>
                <c:pt idx="194">
                  <c:v>1.4500000000000001E-2</c:v>
                </c:pt>
                <c:pt idx="195">
                  <c:v>2.1919999999999999E-2</c:v>
                </c:pt>
                <c:pt idx="196">
                  <c:v>3.6409999999999998E-2</c:v>
                </c:pt>
                <c:pt idx="197">
                  <c:v>4.4560000000000002E-2</c:v>
                </c:pt>
                <c:pt idx="198">
                  <c:v>3.805E-2</c:v>
                </c:pt>
                <c:pt idx="199">
                  <c:v>-3.1309999999999998E-2</c:v>
                </c:pt>
                <c:pt idx="200">
                  <c:v>-3.0980000000000001E-2</c:v>
                </c:pt>
                <c:pt idx="201">
                  <c:v>-2.2919999999999999E-2</c:v>
                </c:pt>
                <c:pt idx="202">
                  <c:v>-1.519E-2</c:v>
                </c:pt>
                <c:pt idx="203">
                  <c:v>-1.4590000000000001E-2</c:v>
                </c:pt>
                <c:pt idx="204">
                  <c:v>-1.474E-2</c:v>
                </c:pt>
                <c:pt idx="205">
                  <c:v>-3.1E-4</c:v>
                </c:pt>
                <c:pt idx="206">
                  <c:v>-7.4599999999999996E-3</c:v>
                </c:pt>
                <c:pt idx="207">
                  <c:v>-7.8600000000000007E-3</c:v>
                </c:pt>
                <c:pt idx="208">
                  <c:v>-2.2159999999999999E-2</c:v>
                </c:pt>
                <c:pt idx="209">
                  <c:v>-2.9700000000000001E-2</c:v>
                </c:pt>
                <c:pt idx="210">
                  <c:v>-2.913E-2</c:v>
                </c:pt>
                <c:pt idx="211">
                  <c:v>2.784E-2</c:v>
                </c:pt>
                <c:pt idx="212">
                  <c:v>2.0490000000000001E-2</c:v>
                </c:pt>
                <c:pt idx="213">
                  <c:v>1.321E-2</c:v>
                </c:pt>
                <c:pt idx="214">
                  <c:v>1.379E-2</c:v>
                </c:pt>
                <c:pt idx="215">
                  <c:v>6.9499999999999996E-3</c:v>
                </c:pt>
                <c:pt idx="216">
                  <c:v>7.26E-3</c:v>
                </c:pt>
                <c:pt idx="217">
                  <c:v>7.26E-3</c:v>
                </c:pt>
                <c:pt idx="218">
                  <c:v>6.9300000000000004E-3</c:v>
                </c:pt>
                <c:pt idx="219">
                  <c:v>6.9300000000000004E-3</c:v>
                </c:pt>
                <c:pt idx="220">
                  <c:v>6.6100000000000004E-3</c:v>
                </c:pt>
                <c:pt idx="221">
                  <c:v>6.6100000000000004E-3</c:v>
                </c:pt>
                <c:pt idx="222">
                  <c:v>6.6100000000000004E-3</c:v>
                </c:pt>
                <c:pt idx="223">
                  <c:v>6.6100000000000004E-3</c:v>
                </c:pt>
                <c:pt idx="224">
                  <c:v>6.6100000000000004E-3</c:v>
                </c:pt>
                <c:pt idx="225">
                  <c:v>6.6100000000000004E-3</c:v>
                </c:pt>
                <c:pt idx="226">
                  <c:v>6.6100000000000004E-3</c:v>
                </c:pt>
                <c:pt idx="227">
                  <c:v>6.6100000000000004E-3</c:v>
                </c:pt>
                <c:pt idx="228">
                  <c:v>6.6100000000000004E-3</c:v>
                </c:pt>
                <c:pt idx="229">
                  <c:v>6.6100000000000004E-3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3-4749-B433-99EFB690A6C4}"/>
            </c:ext>
          </c:extLst>
        </c:ser>
        <c:ser>
          <c:idx val="14"/>
          <c:order val="3"/>
          <c:tx>
            <c:strRef>
              <c:f>Data!$AG$1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Data!$AG$2:$AG$231</c:f>
              <c:numCache>
                <c:formatCode>General</c:formatCode>
                <c:ptCount val="230"/>
                <c:pt idx="0">
                  <c:v>0</c:v>
                </c:pt>
                <c:pt idx="1">
                  <c:v>0.05</c:v>
                </c:pt>
                <c:pt idx="2">
                  <c:v>0.16</c:v>
                </c:pt>
                <c:pt idx="3">
                  <c:v>0.32500000000000001</c:v>
                </c:pt>
                <c:pt idx="4">
                  <c:v>0.53</c:v>
                </c:pt>
                <c:pt idx="5">
                  <c:v>0.71499999999999997</c:v>
                </c:pt>
                <c:pt idx="6">
                  <c:v>0.86</c:v>
                </c:pt>
                <c:pt idx="7">
                  <c:v>0.98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0.93398000000000003</c:v>
                </c:pt>
                <c:pt idx="143">
                  <c:v>0.80184999999999995</c:v>
                </c:pt>
                <c:pt idx="144">
                  <c:v>0.67049000000000003</c:v>
                </c:pt>
                <c:pt idx="145">
                  <c:v>0.60043999999999997</c:v>
                </c:pt>
                <c:pt idx="146">
                  <c:v>0.58345000000000002</c:v>
                </c:pt>
                <c:pt idx="147">
                  <c:v>0.46500000000000002</c:v>
                </c:pt>
                <c:pt idx="148">
                  <c:v>0.30109000000000002</c:v>
                </c:pt>
                <c:pt idx="149">
                  <c:v>0.12191</c:v>
                </c:pt>
                <c:pt idx="150">
                  <c:v>-4.7759999999999997E-2</c:v>
                </c:pt>
                <c:pt idx="151">
                  <c:v>-0.19036</c:v>
                </c:pt>
                <c:pt idx="152">
                  <c:v>-0.19631000000000001</c:v>
                </c:pt>
                <c:pt idx="153">
                  <c:v>-2.3890000000000002E-2</c:v>
                </c:pt>
                <c:pt idx="154">
                  <c:v>0.14305999999999999</c:v>
                </c:pt>
                <c:pt idx="155">
                  <c:v>0.11465</c:v>
                </c:pt>
                <c:pt idx="156">
                  <c:v>0.14044999999999999</c:v>
                </c:pt>
                <c:pt idx="157">
                  <c:v>0.14172999999999999</c:v>
                </c:pt>
                <c:pt idx="158">
                  <c:v>8.8010000000000005E-2</c:v>
                </c:pt>
                <c:pt idx="159">
                  <c:v>5.8950000000000002E-2</c:v>
                </c:pt>
                <c:pt idx="160">
                  <c:v>2.1260000000000001E-2</c:v>
                </c:pt>
                <c:pt idx="161">
                  <c:v>0.10623</c:v>
                </c:pt>
                <c:pt idx="162">
                  <c:v>6.3689999999999997E-2</c:v>
                </c:pt>
                <c:pt idx="163">
                  <c:v>2.4729999999999999E-2</c:v>
                </c:pt>
                <c:pt idx="164">
                  <c:v>-1.4659999999999999E-2</c:v>
                </c:pt>
                <c:pt idx="165">
                  <c:v>-5.4309999999999997E-2</c:v>
                </c:pt>
                <c:pt idx="166">
                  <c:v>-8.8819999999999996E-2</c:v>
                </c:pt>
                <c:pt idx="167">
                  <c:v>-0.13249</c:v>
                </c:pt>
                <c:pt idx="168">
                  <c:v>-0.13949</c:v>
                </c:pt>
                <c:pt idx="169">
                  <c:v>-9.9129999999999996E-2</c:v>
                </c:pt>
                <c:pt idx="170">
                  <c:v>-7.4870000000000006E-2</c:v>
                </c:pt>
                <c:pt idx="171">
                  <c:v>-4.9889999999999997E-2</c:v>
                </c:pt>
                <c:pt idx="172">
                  <c:v>-2.5270000000000001E-2</c:v>
                </c:pt>
                <c:pt idx="173">
                  <c:v>-9.2399999999999996E-2</c:v>
                </c:pt>
                <c:pt idx="174">
                  <c:v>-5.9769999999999997E-2</c:v>
                </c:pt>
                <c:pt idx="175">
                  <c:v>-1.9949999999999999E-2</c:v>
                </c:pt>
                <c:pt idx="176">
                  <c:v>1.204E-2</c:v>
                </c:pt>
                <c:pt idx="177">
                  <c:v>4.1119999999999997E-2</c:v>
                </c:pt>
                <c:pt idx="178">
                  <c:v>7.9439999999999997E-2</c:v>
                </c:pt>
                <c:pt idx="179">
                  <c:v>0.10956</c:v>
                </c:pt>
                <c:pt idx="180">
                  <c:v>0.11651</c:v>
                </c:pt>
                <c:pt idx="181">
                  <c:v>0.11203</c:v>
                </c:pt>
                <c:pt idx="182">
                  <c:v>9.8570000000000005E-2</c:v>
                </c:pt>
                <c:pt idx="183">
                  <c:v>6.7610000000000003E-2</c:v>
                </c:pt>
                <c:pt idx="184">
                  <c:v>4.027E-2</c:v>
                </c:pt>
                <c:pt idx="185">
                  <c:v>1.585E-2</c:v>
                </c:pt>
                <c:pt idx="186">
                  <c:v>7.0069999999999993E-2</c:v>
                </c:pt>
                <c:pt idx="187">
                  <c:v>3.653E-2</c:v>
                </c:pt>
                <c:pt idx="188">
                  <c:v>3.9100000000000003E-3</c:v>
                </c:pt>
                <c:pt idx="189">
                  <c:v>-2.8649999999999998E-2</c:v>
                </c:pt>
                <c:pt idx="190">
                  <c:v>-5.8160000000000003E-2</c:v>
                </c:pt>
                <c:pt idx="191">
                  <c:v>-8.7279999999999996E-2</c:v>
                </c:pt>
                <c:pt idx="192">
                  <c:v>-0.10736</c:v>
                </c:pt>
                <c:pt idx="193">
                  <c:v>-0.11317000000000001</c:v>
                </c:pt>
                <c:pt idx="194">
                  <c:v>-0.1075</c:v>
                </c:pt>
                <c:pt idx="195">
                  <c:v>-9.3079999999999996E-2</c:v>
                </c:pt>
                <c:pt idx="196">
                  <c:v>-6.1589999999999999E-2</c:v>
                </c:pt>
                <c:pt idx="197">
                  <c:v>-3.0439999999999998E-2</c:v>
                </c:pt>
                <c:pt idx="198">
                  <c:v>-1.695E-2</c:v>
                </c:pt>
                <c:pt idx="199">
                  <c:v>-6.4310000000000006E-2</c:v>
                </c:pt>
                <c:pt idx="200">
                  <c:v>-3.9980000000000002E-2</c:v>
                </c:pt>
                <c:pt idx="201">
                  <c:v>-1.192E-2</c:v>
                </c:pt>
                <c:pt idx="202">
                  <c:v>1.6809999999999999E-2</c:v>
                </c:pt>
                <c:pt idx="203">
                  <c:v>3.7409999999999999E-2</c:v>
                </c:pt>
                <c:pt idx="204">
                  <c:v>5.5259999999999997E-2</c:v>
                </c:pt>
                <c:pt idx="205">
                  <c:v>7.3690000000000005E-2</c:v>
                </c:pt>
                <c:pt idx="206">
                  <c:v>7.3539999999999994E-2</c:v>
                </c:pt>
                <c:pt idx="207">
                  <c:v>7.2139999999999996E-2</c:v>
                </c:pt>
                <c:pt idx="208">
                  <c:v>4.7840000000000001E-2</c:v>
                </c:pt>
                <c:pt idx="209">
                  <c:v>2.7300000000000001E-2</c:v>
                </c:pt>
                <c:pt idx="210">
                  <c:v>1.187E-2</c:v>
                </c:pt>
                <c:pt idx="211">
                  <c:v>4.9840000000000002E-2</c:v>
                </c:pt>
                <c:pt idx="212">
                  <c:v>2.649E-2</c:v>
                </c:pt>
                <c:pt idx="213">
                  <c:v>3.2100000000000002E-3</c:v>
                </c:pt>
                <c:pt idx="214">
                  <c:v>-1.321E-2</c:v>
                </c:pt>
                <c:pt idx="215">
                  <c:v>-3.1050000000000001E-2</c:v>
                </c:pt>
                <c:pt idx="216">
                  <c:v>-3.3739999999999999E-2</c:v>
                </c:pt>
                <c:pt idx="217">
                  <c:v>-3.9739999999999998E-2</c:v>
                </c:pt>
                <c:pt idx="218">
                  <c:v>-3.807E-2</c:v>
                </c:pt>
                <c:pt idx="219">
                  <c:v>-3.9070000000000001E-2</c:v>
                </c:pt>
                <c:pt idx="220">
                  <c:v>-3.3390000000000003E-2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D-4131-998B-623EF701E422}"/>
            </c:ext>
          </c:extLst>
        </c:ser>
        <c:ser>
          <c:idx val="3"/>
          <c:order val="4"/>
          <c:tx>
            <c:strRef>
              <c:f>Data!$AO$1</c:f>
              <c:strCache>
                <c:ptCount val="1"/>
                <c:pt idx="0">
                  <c:v>Pos-Norm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Data!$AO$2:$AO$231</c:f>
              <c:numCache>
                <c:formatCode>0.000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5.6925996204933583E-4</c:v>
                </c:pt>
                <c:pt idx="4">
                  <c:v>1.8975332068311196E-3</c:v>
                </c:pt>
                <c:pt idx="5">
                  <c:v>4.7438330170777986E-3</c:v>
                </c:pt>
                <c:pt idx="6">
                  <c:v>8.7286527514231493E-3</c:v>
                </c:pt>
                <c:pt idx="7">
                  <c:v>1.4421252371916509E-2</c:v>
                </c:pt>
                <c:pt idx="8">
                  <c:v>2.1062618595825425E-2</c:v>
                </c:pt>
                <c:pt idx="9">
                  <c:v>2.7703984819734344E-2</c:v>
                </c:pt>
                <c:pt idx="10">
                  <c:v>3.4914611005692597E-2</c:v>
                </c:pt>
                <c:pt idx="11">
                  <c:v>4.2694497153700189E-2</c:v>
                </c:pt>
                <c:pt idx="12">
                  <c:v>5.0284629981024669E-2</c:v>
                </c:pt>
                <c:pt idx="13">
                  <c:v>5.7874762808349148E-2</c:v>
                </c:pt>
                <c:pt idx="14">
                  <c:v>6.5275142314990514E-2</c:v>
                </c:pt>
                <c:pt idx="15">
                  <c:v>7.2106261859582549E-2</c:v>
                </c:pt>
                <c:pt idx="16">
                  <c:v>7.9316888045540795E-2</c:v>
                </c:pt>
                <c:pt idx="17">
                  <c:v>8.6337760910815936E-2</c:v>
                </c:pt>
                <c:pt idx="18">
                  <c:v>9.4117647058823528E-2</c:v>
                </c:pt>
                <c:pt idx="19">
                  <c:v>0.10170777988614801</c:v>
                </c:pt>
                <c:pt idx="20">
                  <c:v>0.10853889943074004</c:v>
                </c:pt>
                <c:pt idx="21">
                  <c:v>0.11480075901328274</c:v>
                </c:pt>
                <c:pt idx="22">
                  <c:v>0.12144212523719165</c:v>
                </c:pt>
                <c:pt idx="23">
                  <c:v>0.12770398481973436</c:v>
                </c:pt>
                <c:pt idx="24">
                  <c:v>0.13396584440227705</c:v>
                </c:pt>
                <c:pt idx="25">
                  <c:v>0.14041745730550284</c:v>
                </c:pt>
                <c:pt idx="26">
                  <c:v>0.14724857685009488</c:v>
                </c:pt>
                <c:pt idx="27">
                  <c:v>0.15407969639468691</c:v>
                </c:pt>
                <c:pt idx="28">
                  <c:v>0.1603415559772296</c:v>
                </c:pt>
                <c:pt idx="29">
                  <c:v>0.16717267552182163</c:v>
                </c:pt>
                <c:pt idx="30">
                  <c:v>0.17438330170777988</c:v>
                </c:pt>
                <c:pt idx="31">
                  <c:v>0.18178368121442126</c:v>
                </c:pt>
                <c:pt idx="32">
                  <c:v>0.18937381404174572</c:v>
                </c:pt>
                <c:pt idx="33">
                  <c:v>0.19639468690702086</c:v>
                </c:pt>
                <c:pt idx="34">
                  <c:v>0.20360531309297913</c:v>
                </c:pt>
                <c:pt idx="35">
                  <c:v>0.21024667931688804</c:v>
                </c:pt>
                <c:pt idx="36">
                  <c:v>0.21650853889943075</c:v>
                </c:pt>
                <c:pt idx="37">
                  <c:v>0.22504743833017077</c:v>
                </c:pt>
                <c:pt idx="38">
                  <c:v>0.2316888045540797</c:v>
                </c:pt>
                <c:pt idx="39">
                  <c:v>0.23795066413662239</c:v>
                </c:pt>
                <c:pt idx="40">
                  <c:v>0.24459203036053132</c:v>
                </c:pt>
                <c:pt idx="41">
                  <c:v>0.25104364326375711</c:v>
                </c:pt>
                <c:pt idx="42">
                  <c:v>0.25749525616698293</c:v>
                </c:pt>
                <c:pt idx="43">
                  <c:v>0.26489563567362429</c:v>
                </c:pt>
                <c:pt idx="44">
                  <c:v>0.27153700189753321</c:v>
                </c:pt>
                <c:pt idx="45">
                  <c:v>0.27836812144212525</c:v>
                </c:pt>
                <c:pt idx="46">
                  <c:v>0.28614800759013281</c:v>
                </c:pt>
                <c:pt idx="47">
                  <c:v>0.29468690702087286</c:v>
                </c:pt>
                <c:pt idx="48">
                  <c:v>0.30113851992409868</c:v>
                </c:pt>
                <c:pt idx="49">
                  <c:v>0.30872865275142314</c:v>
                </c:pt>
                <c:pt idx="50">
                  <c:v>0.31555977229601517</c:v>
                </c:pt>
                <c:pt idx="51">
                  <c:v>0.32314990512333963</c:v>
                </c:pt>
                <c:pt idx="52">
                  <c:v>0.33036053130929793</c:v>
                </c:pt>
                <c:pt idx="53">
                  <c:v>0.33700189753320681</c:v>
                </c:pt>
                <c:pt idx="54">
                  <c:v>0.34364326375711574</c:v>
                </c:pt>
                <c:pt idx="55">
                  <c:v>0.35028462998102466</c:v>
                </c:pt>
                <c:pt idx="56">
                  <c:v>0.35654648956356738</c:v>
                </c:pt>
                <c:pt idx="57">
                  <c:v>0.36375711574952563</c:v>
                </c:pt>
                <c:pt idx="58">
                  <c:v>0.37020872865275145</c:v>
                </c:pt>
                <c:pt idx="59">
                  <c:v>0.37722960151802659</c:v>
                </c:pt>
                <c:pt idx="60">
                  <c:v>0.38444022770398484</c:v>
                </c:pt>
                <c:pt idx="61">
                  <c:v>0.39411764705882352</c:v>
                </c:pt>
                <c:pt idx="62">
                  <c:v>0.40132827324478176</c:v>
                </c:pt>
                <c:pt idx="63">
                  <c:v>0.40759013282732448</c:v>
                </c:pt>
                <c:pt idx="64">
                  <c:v>0.41347248576850093</c:v>
                </c:pt>
                <c:pt idx="65">
                  <c:v>0.41935483870967744</c:v>
                </c:pt>
                <c:pt idx="66">
                  <c:v>0.42542694497153699</c:v>
                </c:pt>
                <c:pt idx="67">
                  <c:v>0.4314990512333966</c:v>
                </c:pt>
                <c:pt idx="68">
                  <c:v>0.43719165085388995</c:v>
                </c:pt>
                <c:pt idx="69">
                  <c:v>0.4430740037950664</c:v>
                </c:pt>
                <c:pt idx="70">
                  <c:v>0.44990512333965843</c:v>
                </c:pt>
                <c:pt idx="71">
                  <c:v>0.45635673624288425</c:v>
                </c:pt>
                <c:pt idx="72">
                  <c:v>0.4622390891840607</c:v>
                </c:pt>
                <c:pt idx="73">
                  <c:v>0.46869070208728653</c:v>
                </c:pt>
                <c:pt idx="74">
                  <c:v>0.47514231499051235</c:v>
                </c:pt>
                <c:pt idx="75">
                  <c:v>0.48140417457305501</c:v>
                </c:pt>
                <c:pt idx="76">
                  <c:v>0.48785578747628083</c:v>
                </c:pt>
                <c:pt idx="77">
                  <c:v>0.49449715370018976</c:v>
                </c:pt>
                <c:pt idx="78">
                  <c:v>0.50151802656546485</c:v>
                </c:pt>
                <c:pt idx="79">
                  <c:v>0.50777988614800762</c:v>
                </c:pt>
                <c:pt idx="80">
                  <c:v>0.51423149905123344</c:v>
                </c:pt>
                <c:pt idx="81">
                  <c:v>0.5204933586337761</c:v>
                </c:pt>
                <c:pt idx="82">
                  <c:v>0.52713472485768498</c:v>
                </c:pt>
                <c:pt idx="83">
                  <c:v>0.53339658444022775</c:v>
                </c:pt>
                <c:pt idx="84">
                  <c:v>0.53946869070208725</c:v>
                </c:pt>
                <c:pt idx="85">
                  <c:v>0.54592030360531307</c:v>
                </c:pt>
                <c:pt idx="86">
                  <c:v>0.5523719165085389</c:v>
                </c:pt>
                <c:pt idx="87">
                  <c:v>0.55901328273244777</c:v>
                </c:pt>
                <c:pt idx="88">
                  <c:v>0.56622390891840613</c:v>
                </c:pt>
                <c:pt idx="89">
                  <c:v>0.57248576850094879</c:v>
                </c:pt>
                <c:pt idx="90">
                  <c:v>0.57874762808349145</c:v>
                </c:pt>
                <c:pt idx="91">
                  <c:v>0.58500948766603411</c:v>
                </c:pt>
                <c:pt idx="92">
                  <c:v>0.59259962049335868</c:v>
                </c:pt>
                <c:pt idx="93">
                  <c:v>0.59924098671726755</c:v>
                </c:pt>
                <c:pt idx="94">
                  <c:v>0.60569259962049338</c:v>
                </c:pt>
                <c:pt idx="95">
                  <c:v>0.6121442125237192</c:v>
                </c:pt>
                <c:pt idx="96">
                  <c:v>0.6182163187855787</c:v>
                </c:pt>
                <c:pt idx="97">
                  <c:v>0.62428842504743831</c:v>
                </c:pt>
                <c:pt idx="98">
                  <c:v>0.63055028462998097</c:v>
                </c:pt>
                <c:pt idx="99">
                  <c:v>0.63681214421252375</c:v>
                </c:pt>
                <c:pt idx="100">
                  <c:v>0.64326375711574957</c:v>
                </c:pt>
                <c:pt idx="101">
                  <c:v>0.64933586337760907</c:v>
                </c:pt>
                <c:pt idx="102">
                  <c:v>0.65559772296015184</c:v>
                </c:pt>
                <c:pt idx="103">
                  <c:v>0.66223908918406071</c:v>
                </c:pt>
                <c:pt idx="104">
                  <c:v>0.66925996204933591</c:v>
                </c:pt>
                <c:pt idx="105">
                  <c:v>0.67703984819734342</c:v>
                </c:pt>
                <c:pt idx="106">
                  <c:v>0.68406072106261862</c:v>
                </c:pt>
                <c:pt idx="107">
                  <c:v>0.6910815939278937</c:v>
                </c:pt>
                <c:pt idx="108">
                  <c:v>0.69791271347248574</c:v>
                </c:pt>
                <c:pt idx="109">
                  <c:v>0.70474383301707777</c:v>
                </c:pt>
                <c:pt idx="110">
                  <c:v>0.71138519924098675</c:v>
                </c:pt>
                <c:pt idx="111">
                  <c:v>0.71878557874762805</c:v>
                </c:pt>
                <c:pt idx="112">
                  <c:v>0.7259962049335863</c:v>
                </c:pt>
                <c:pt idx="113">
                  <c:v>0.73396584440227708</c:v>
                </c:pt>
                <c:pt idx="114">
                  <c:v>0.74136622390891838</c:v>
                </c:pt>
                <c:pt idx="115">
                  <c:v>0.74838709677419357</c:v>
                </c:pt>
                <c:pt idx="116">
                  <c:v>0.75540796963946866</c:v>
                </c:pt>
                <c:pt idx="117">
                  <c:v>0.76223908918406069</c:v>
                </c:pt>
                <c:pt idx="118">
                  <c:v>0.76907020872865273</c:v>
                </c:pt>
                <c:pt idx="119">
                  <c:v>0.77685009487666035</c:v>
                </c:pt>
                <c:pt idx="120">
                  <c:v>0.78406072106261859</c:v>
                </c:pt>
                <c:pt idx="121">
                  <c:v>0.79146110056926</c:v>
                </c:pt>
                <c:pt idx="122">
                  <c:v>0.79848197343453509</c:v>
                </c:pt>
                <c:pt idx="123">
                  <c:v>0.80512333965844407</c:v>
                </c:pt>
                <c:pt idx="124">
                  <c:v>0.81195445920303611</c:v>
                </c:pt>
                <c:pt idx="125">
                  <c:v>0.81897533206831119</c:v>
                </c:pt>
                <c:pt idx="126">
                  <c:v>0.82561669829222006</c:v>
                </c:pt>
                <c:pt idx="127">
                  <c:v>0.83225806451612905</c:v>
                </c:pt>
                <c:pt idx="128">
                  <c:v>0.84079696394686909</c:v>
                </c:pt>
                <c:pt idx="129">
                  <c:v>0.84724857685009491</c:v>
                </c:pt>
                <c:pt idx="130">
                  <c:v>0.85407969639468695</c:v>
                </c:pt>
                <c:pt idx="131">
                  <c:v>0.8612903225806452</c:v>
                </c:pt>
                <c:pt idx="132">
                  <c:v>0.86888045540796965</c:v>
                </c:pt>
                <c:pt idx="133">
                  <c:v>0.87647058823529411</c:v>
                </c:pt>
                <c:pt idx="134">
                  <c:v>0.88311195445920299</c:v>
                </c:pt>
                <c:pt idx="135">
                  <c:v>0.88975332068311197</c:v>
                </c:pt>
                <c:pt idx="136">
                  <c:v>0.896584440227704</c:v>
                </c:pt>
                <c:pt idx="137">
                  <c:v>0.9039848197343453</c:v>
                </c:pt>
                <c:pt idx="138">
                  <c:v>0.91062618595825429</c:v>
                </c:pt>
                <c:pt idx="139">
                  <c:v>0.91783681214421253</c:v>
                </c:pt>
                <c:pt idx="140">
                  <c:v>0.92504743833017078</c:v>
                </c:pt>
                <c:pt idx="141">
                  <c:v>0.93168880455407965</c:v>
                </c:pt>
                <c:pt idx="142">
                  <c:v>0.93965844402277043</c:v>
                </c:pt>
                <c:pt idx="143">
                  <c:v>0.94648956356736247</c:v>
                </c:pt>
                <c:pt idx="144">
                  <c:v>0.9533206831119545</c:v>
                </c:pt>
                <c:pt idx="145">
                  <c:v>0.95996204933586338</c:v>
                </c:pt>
                <c:pt idx="146">
                  <c:v>0.96698292220113857</c:v>
                </c:pt>
                <c:pt idx="147">
                  <c:v>0.9738140417457305</c:v>
                </c:pt>
                <c:pt idx="148">
                  <c:v>0.98064516129032253</c:v>
                </c:pt>
                <c:pt idx="149">
                  <c:v>0.98728652751423152</c:v>
                </c:pt>
                <c:pt idx="150">
                  <c:v>0.99354838709677418</c:v>
                </c:pt>
                <c:pt idx="151">
                  <c:v>0.99753320683111957</c:v>
                </c:pt>
                <c:pt idx="152">
                  <c:v>0.99829222011385199</c:v>
                </c:pt>
                <c:pt idx="153">
                  <c:v>0.99753320683111957</c:v>
                </c:pt>
                <c:pt idx="154">
                  <c:v>0.99677419354838714</c:v>
                </c:pt>
                <c:pt idx="155">
                  <c:v>0.99658444022770398</c:v>
                </c:pt>
                <c:pt idx="156">
                  <c:v>0.99715370018975336</c:v>
                </c:pt>
                <c:pt idx="157">
                  <c:v>0.99791271347248578</c:v>
                </c:pt>
                <c:pt idx="158">
                  <c:v>0.9986717267552182</c:v>
                </c:pt>
                <c:pt idx="159">
                  <c:v>0.99962049335863379</c:v>
                </c:pt>
                <c:pt idx="160">
                  <c:v>1.0003795066413663</c:v>
                </c:pt>
                <c:pt idx="161">
                  <c:v>1.0009487666034156</c:v>
                </c:pt>
                <c:pt idx="162">
                  <c:v>1.001707779886148</c:v>
                </c:pt>
                <c:pt idx="163">
                  <c:v>1.0022770398481973</c:v>
                </c:pt>
                <c:pt idx="164">
                  <c:v>1.0030360531309297</c:v>
                </c:pt>
                <c:pt idx="165">
                  <c:v>1.0032258064516129</c:v>
                </c:pt>
                <c:pt idx="166">
                  <c:v>1.0032258064516129</c:v>
                </c:pt>
                <c:pt idx="167">
                  <c:v>1.0030360531309297</c:v>
                </c:pt>
                <c:pt idx="168">
                  <c:v>1.0022770398481973</c:v>
                </c:pt>
                <c:pt idx="169">
                  <c:v>1.001707779886148</c:v>
                </c:pt>
                <c:pt idx="170">
                  <c:v>1.0009487666034156</c:v>
                </c:pt>
                <c:pt idx="171">
                  <c:v>1.0003795066413663</c:v>
                </c:pt>
                <c:pt idx="172">
                  <c:v>0.99962049335863379</c:v>
                </c:pt>
                <c:pt idx="173">
                  <c:v>0.99905123339658441</c:v>
                </c:pt>
                <c:pt idx="174">
                  <c:v>0.9986717267552182</c:v>
                </c:pt>
                <c:pt idx="175">
                  <c:v>0.99810246679316883</c:v>
                </c:pt>
                <c:pt idx="176">
                  <c:v>0.99772296015180262</c:v>
                </c:pt>
                <c:pt idx="177">
                  <c:v>0.99753320683111957</c:v>
                </c:pt>
                <c:pt idx="178">
                  <c:v>0.99753320683111957</c:v>
                </c:pt>
                <c:pt idx="179">
                  <c:v>0.99772296015180262</c:v>
                </c:pt>
                <c:pt idx="180">
                  <c:v>0.99791271347248578</c:v>
                </c:pt>
                <c:pt idx="181">
                  <c:v>0.99829222011385199</c:v>
                </c:pt>
                <c:pt idx="182">
                  <c:v>0.99886148007590136</c:v>
                </c:pt>
                <c:pt idx="183">
                  <c:v>0.99943074003795063</c:v>
                </c:pt>
                <c:pt idx="184">
                  <c:v>1</c:v>
                </c:pt>
                <c:pt idx="185">
                  <c:v>1.0005692599620493</c:v>
                </c:pt>
                <c:pt idx="186">
                  <c:v>1.0009487666034156</c:v>
                </c:pt>
                <c:pt idx="187">
                  <c:v>1.0013282732447817</c:v>
                </c:pt>
                <c:pt idx="188">
                  <c:v>1.0018975332068312</c:v>
                </c:pt>
                <c:pt idx="189">
                  <c:v>1.0020872865275143</c:v>
                </c:pt>
                <c:pt idx="190">
                  <c:v>1.0022770398481973</c:v>
                </c:pt>
                <c:pt idx="191">
                  <c:v>1.0022770398481973</c:v>
                </c:pt>
                <c:pt idx="192">
                  <c:v>1.0020872865275143</c:v>
                </c:pt>
                <c:pt idx="193">
                  <c:v>1.0018975332068312</c:v>
                </c:pt>
                <c:pt idx="194">
                  <c:v>1.0015180265654648</c:v>
                </c:pt>
                <c:pt idx="195">
                  <c:v>1.0009487666034156</c:v>
                </c:pt>
                <c:pt idx="196">
                  <c:v>1.0003795066413663</c:v>
                </c:pt>
                <c:pt idx="197">
                  <c:v>1</c:v>
                </c:pt>
                <c:pt idx="198">
                  <c:v>0.99962049335863379</c:v>
                </c:pt>
                <c:pt idx="199">
                  <c:v>0.99924098671726758</c:v>
                </c:pt>
                <c:pt idx="200">
                  <c:v>0.99905123339658441</c:v>
                </c:pt>
                <c:pt idx="201">
                  <c:v>0.99886148007590136</c:v>
                </c:pt>
                <c:pt idx="202">
                  <c:v>0.9986717267552182</c:v>
                </c:pt>
                <c:pt idx="203">
                  <c:v>0.99848197343453515</c:v>
                </c:pt>
                <c:pt idx="204">
                  <c:v>0.9986717267552182</c:v>
                </c:pt>
                <c:pt idx="205">
                  <c:v>0.9986717267552182</c:v>
                </c:pt>
                <c:pt idx="206">
                  <c:v>0.99886148007590136</c:v>
                </c:pt>
                <c:pt idx="207">
                  <c:v>0.99924098671726758</c:v>
                </c:pt>
                <c:pt idx="208">
                  <c:v>0.99962049335863379</c:v>
                </c:pt>
                <c:pt idx="209">
                  <c:v>1</c:v>
                </c:pt>
                <c:pt idx="210">
                  <c:v>1.0003795066413663</c:v>
                </c:pt>
                <c:pt idx="211">
                  <c:v>1.0005692599620493</c:v>
                </c:pt>
                <c:pt idx="212">
                  <c:v>1.0007590132827324</c:v>
                </c:pt>
                <c:pt idx="213">
                  <c:v>1.0009487666034156</c:v>
                </c:pt>
                <c:pt idx="214">
                  <c:v>1.0009487666034156</c:v>
                </c:pt>
                <c:pt idx="215">
                  <c:v>1.0007590132827324</c:v>
                </c:pt>
                <c:pt idx="216">
                  <c:v>1.0007590132827324</c:v>
                </c:pt>
                <c:pt idx="217">
                  <c:v>1.0005692599620493</c:v>
                </c:pt>
                <c:pt idx="218">
                  <c:v>1.0005692599620493</c:v>
                </c:pt>
                <c:pt idx="219">
                  <c:v>1.0003795066413663</c:v>
                </c:pt>
                <c:pt idx="220">
                  <c:v>1.0001897533206832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F3-4749-B433-99EFB690A6C4}"/>
            </c:ext>
          </c:extLst>
        </c:ser>
        <c:ser>
          <c:idx val="4"/>
          <c:order val="5"/>
          <c:tx>
            <c:strRef>
              <c:f>Data!$AR$1</c:f>
              <c:strCache>
                <c:ptCount val="1"/>
                <c:pt idx="0">
                  <c:v>I-Target-Norm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Data!$AR$2:$AR$231</c:f>
              <c:numCache>
                <c:formatCode>0.000</c:formatCode>
                <c:ptCount val="230"/>
                <c:pt idx="0">
                  <c:v>3.7950664136622391E-4</c:v>
                </c:pt>
                <c:pt idx="1">
                  <c:v>1.8975332068311196E-3</c:v>
                </c:pt>
                <c:pt idx="2">
                  <c:v>6.0721062618595825E-3</c:v>
                </c:pt>
                <c:pt idx="3">
                  <c:v>1.2333965844402278E-2</c:v>
                </c:pt>
                <c:pt idx="4">
                  <c:v>2.0683111954459203E-2</c:v>
                </c:pt>
                <c:pt idx="5">
                  <c:v>2.903225806451613E-2</c:v>
                </c:pt>
                <c:pt idx="6">
                  <c:v>3.7381404174573057E-2</c:v>
                </c:pt>
                <c:pt idx="7">
                  <c:v>4.5920303605313094E-2</c:v>
                </c:pt>
                <c:pt idx="8">
                  <c:v>5.445920303605313E-2</c:v>
                </c:pt>
                <c:pt idx="9">
                  <c:v>6.2808349146110054E-2</c:v>
                </c:pt>
                <c:pt idx="10">
                  <c:v>7.039848197343454E-2</c:v>
                </c:pt>
                <c:pt idx="11">
                  <c:v>7.893738140417457E-2</c:v>
                </c:pt>
                <c:pt idx="12">
                  <c:v>8.6907020872865282E-2</c:v>
                </c:pt>
                <c:pt idx="13">
                  <c:v>9.468690702087286E-2</c:v>
                </c:pt>
                <c:pt idx="14">
                  <c:v>0.10246679316888045</c:v>
                </c:pt>
                <c:pt idx="15">
                  <c:v>0.10948766603415559</c:v>
                </c:pt>
                <c:pt idx="16">
                  <c:v>0.11669829222011385</c:v>
                </c:pt>
                <c:pt idx="17">
                  <c:v>0.12409867172675522</c:v>
                </c:pt>
                <c:pt idx="18">
                  <c:v>0.13206831119544593</c:v>
                </c:pt>
                <c:pt idx="19">
                  <c:v>0.13984819734345352</c:v>
                </c:pt>
                <c:pt idx="20">
                  <c:v>0.14743833017077798</c:v>
                </c:pt>
                <c:pt idx="21">
                  <c:v>0.1538899430740038</c:v>
                </c:pt>
                <c:pt idx="22">
                  <c:v>0.1603415559772296</c:v>
                </c:pt>
                <c:pt idx="23">
                  <c:v>0.16717267552182163</c:v>
                </c:pt>
                <c:pt idx="24">
                  <c:v>0.17362428842504743</c:v>
                </c:pt>
                <c:pt idx="25">
                  <c:v>0.18026565464895636</c:v>
                </c:pt>
                <c:pt idx="26">
                  <c:v>0.1874762808349146</c:v>
                </c:pt>
                <c:pt idx="27">
                  <c:v>0.19411764705882353</c:v>
                </c:pt>
                <c:pt idx="28">
                  <c:v>0.20075901328273243</c:v>
                </c:pt>
                <c:pt idx="29">
                  <c:v>0.2077798861480076</c:v>
                </c:pt>
                <c:pt idx="30">
                  <c:v>0.21537001897533206</c:v>
                </c:pt>
                <c:pt idx="31">
                  <c:v>0.22277039848197344</c:v>
                </c:pt>
                <c:pt idx="32">
                  <c:v>0.23092979127134725</c:v>
                </c:pt>
                <c:pt idx="33">
                  <c:v>0.23795066413662239</c:v>
                </c:pt>
                <c:pt idx="34">
                  <c:v>0.24535104364326377</c:v>
                </c:pt>
                <c:pt idx="35">
                  <c:v>0.2521821631878558</c:v>
                </c:pt>
                <c:pt idx="36">
                  <c:v>0.25863377609108157</c:v>
                </c:pt>
                <c:pt idx="37">
                  <c:v>0.26641366223908919</c:v>
                </c:pt>
                <c:pt idx="38">
                  <c:v>0.27438330170777986</c:v>
                </c:pt>
                <c:pt idx="39">
                  <c:v>0.28083491461100568</c:v>
                </c:pt>
                <c:pt idx="40">
                  <c:v>0.28766603415559772</c:v>
                </c:pt>
                <c:pt idx="41">
                  <c:v>0.29430740037950665</c:v>
                </c:pt>
                <c:pt idx="42">
                  <c:v>0.30094876660341557</c:v>
                </c:pt>
                <c:pt idx="43">
                  <c:v>0.30853889943074003</c:v>
                </c:pt>
                <c:pt idx="44">
                  <c:v>0.31537001897533207</c:v>
                </c:pt>
                <c:pt idx="45">
                  <c:v>0.32239089184060721</c:v>
                </c:pt>
                <c:pt idx="46">
                  <c:v>0.32979127134724856</c:v>
                </c:pt>
                <c:pt idx="47">
                  <c:v>0.33700189753320681</c:v>
                </c:pt>
                <c:pt idx="48">
                  <c:v>0.34592030360531312</c:v>
                </c:pt>
                <c:pt idx="49">
                  <c:v>0.35351043643263758</c:v>
                </c:pt>
                <c:pt idx="50">
                  <c:v>0.36072106261859582</c:v>
                </c:pt>
                <c:pt idx="51">
                  <c:v>0.36812144212523717</c:v>
                </c:pt>
                <c:pt idx="52">
                  <c:v>0.37590132827324479</c:v>
                </c:pt>
                <c:pt idx="53">
                  <c:v>0.38273244781783683</c:v>
                </c:pt>
                <c:pt idx="54">
                  <c:v>0.38956356736242886</c:v>
                </c:pt>
                <c:pt idx="55">
                  <c:v>0.39620493358633774</c:v>
                </c:pt>
                <c:pt idx="56">
                  <c:v>0.40284629981024667</c:v>
                </c:pt>
                <c:pt idx="57">
                  <c:v>0.41024667931688802</c:v>
                </c:pt>
                <c:pt idx="58">
                  <c:v>0.41688804554079695</c:v>
                </c:pt>
                <c:pt idx="59">
                  <c:v>0.42352941176470588</c:v>
                </c:pt>
                <c:pt idx="60">
                  <c:v>0.4313092979127135</c:v>
                </c:pt>
                <c:pt idx="61">
                  <c:v>0.43889943074003795</c:v>
                </c:pt>
                <c:pt idx="62">
                  <c:v>0.44819734345351042</c:v>
                </c:pt>
                <c:pt idx="63">
                  <c:v>0.45540796963946867</c:v>
                </c:pt>
                <c:pt idx="64">
                  <c:v>0.46166982922201139</c:v>
                </c:pt>
                <c:pt idx="65">
                  <c:v>0.46774193548387094</c:v>
                </c:pt>
                <c:pt idx="66">
                  <c:v>0.47400379506641366</c:v>
                </c:pt>
                <c:pt idx="67">
                  <c:v>0.48007590132827327</c:v>
                </c:pt>
                <c:pt idx="68">
                  <c:v>0.48595825426944972</c:v>
                </c:pt>
                <c:pt idx="69">
                  <c:v>0.49203036053130927</c:v>
                </c:pt>
                <c:pt idx="70">
                  <c:v>0.4986717267552182</c:v>
                </c:pt>
                <c:pt idx="71">
                  <c:v>0.5056925996204934</c:v>
                </c:pt>
                <c:pt idx="72">
                  <c:v>0.5117647058823529</c:v>
                </c:pt>
                <c:pt idx="73">
                  <c:v>0.51802656546489567</c:v>
                </c:pt>
                <c:pt idx="74">
                  <c:v>0.52485768500948771</c:v>
                </c:pt>
                <c:pt idx="75">
                  <c:v>0.53111954459203037</c:v>
                </c:pt>
                <c:pt idx="76">
                  <c:v>0.5379506641366224</c:v>
                </c:pt>
                <c:pt idx="77">
                  <c:v>0.54478178368121444</c:v>
                </c:pt>
                <c:pt idx="78">
                  <c:v>0.55180265654648952</c:v>
                </c:pt>
                <c:pt idx="79">
                  <c:v>0.55825426944971535</c:v>
                </c:pt>
                <c:pt idx="80">
                  <c:v>0.56470588235294117</c:v>
                </c:pt>
                <c:pt idx="81">
                  <c:v>0.57134724857685004</c:v>
                </c:pt>
                <c:pt idx="82">
                  <c:v>0.57779886148007586</c:v>
                </c:pt>
                <c:pt idx="83">
                  <c:v>0.5846299810246679</c:v>
                </c:pt>
                <c:pt idx="84">
                  <c:v>0.59089184060721067</c:v>
                </c:pt>
                <c:pt idx="85">
                  <c:v>0.59753320683111955</c:v>
                </c:pt>
                <c:pt idx="86">
                  <c:v>0.60417457305502842</c:v>
                </c:pt>
                <c:pt idx="87">
                  <c:v>0.61100569259962045</c:v>
                </c:pt>
                <c:pt idx="88">
                  <c:v>0.61764705882352944</c:v>
                </c:pt>
                <c:pt idx="89">
                  <c:v>0.62466793168880452</c:v>
                </c:pt>
                <c:pt idx="90">
                  <c:v>0.63130929791271351</c:v>
                </c:pt>
                <c:pt idx="91">
                  <c:v>0.63776091081593933</c:v>
                </c:pt>
                <c:pt idx="92">
                  <c:v>0.64478178368121442</c:v>
                </c:pt>
                <c:pt idx="93">
                  <c:v>0.65237191650853887</c:v>
                </c:pt>
                <c:pt idx="94">
                  <c:v>0.65920303605313091</c:v>
                </c:pt>
                <c:pt idx="95">
                  <c:v>0.66546489563567357</c:v>
                </c:pt>
                <c:pt idx="96">
                  <c:v>0.67191650853889939</c:v>
                </c:pt>
                <c:pt idx="97">
                  <c:v>0.67817836812144217</c:v>
                </c:pt>
                <c:pt idx="98">
                  <c:v>0.68462998102466788</c:v>
                </c:pt>
                <c:pt idx="99">
                  <c:v>0.69089184060721065</c:v>
                </c:pt>
                <c:pt idx="100">
                  <c:v>0.69753320683111952</c:v>
                </c:pt>
                <c:pt idx="101">
                  <c:v>0.70398481973434535</c:v>
                </c:pt>
                <c:pt idx="102">
                  <c:v>0.71024667931688801</c:v>
                </c:pt>
                <c:pt idx="103">
                  <c:v>0.71669829222011383</c:v>
                </c:pt>
                <c:pt idx="104">
                  <c:v>0.72390891840607208</c:v>
                </c:pt>
                <c:pt idx="105">
                  <c:v>0.73206831119544591</c:v>
                </c:pt>
                <c:pt idx="106">
                  <c:v>0.73927893738140416</c:v>
                </c:pt>
                <c:pt idx="107">
                  <c:v>0.74629981024667935</c:v>
                </c:pt>
                <c:pt idx="108">
                  <c:v>0.75332068311195444</c:v>
                </c:pt>
                <c:pt idx="109">
                  <c:v>0.76053130929791268</c:v>
                </c:pt>
                <c:pt idx="110">
                  <c:v>0.76755218216318788</c:v>
                </c:pt>
                <c:pt idx="111">
                  <c:v>0.77495256166982918</c:v>
                </c:pt>
                <c:pt idx="112">
                  <c:v>0.78235294117647058</c:v>
                </c:pt>
                <c:pt idx="113">
                  <c:v>0.78994307400379504</c:v>
                </c:pt>
                <c:pt idx="114">
                  <c:v>0.79810246679316887</c:v>
                </c:pt>
                <c:pt idx="115">
                  <c:v>0.80531309297912712</c:v>
                </c:pt>
                <c:pt idx="116">
                  <c:v>0.81252371916508537</c:v>
                </c:pt>
                <c:pt idx="117">
                  <c:v>0.81954459203036056</c:v>
                </c:pt>
                <c:pt idx="118">
                  <c:v>0.82656546489563565</c:v>
                </c:pt>
                <c:pt idx="119">
                  <c:v>0.83453510436432643</c:v>
                </c:pt>
                <c:pt idx="120">
                  <c:v>0.84193548387096773</c:v>
                </c:pt>
                <c:pt idx="121">
                  <c:v>0.84914611005692597</c:v>
                </c:pt>
                <c:pt idx="122">
                  <c:v>0.85692599620493359</c:v>
                </c:pt>
                <c:pt idx="123">
                  <c:v>0.86356736242884247</c:v>
                </c:pt>
                <c:pt idx="124">
                  <c:v>0.87058823529411766</c:v>
                </c:pt>
                <c:pt idx="125">
                  <c:v>0.87779886148007591</c:v>
                </c:pt>
                <c:pt idx="126">
                  <c:v>0.88481973434535099</c:v>
                </c:pt>
                <c:pt idx="127">
                  <c:v>0.89146110056925998</c:v>
                </c:pt>
                <c:pt idx="128">
                  <c:v>0.89848197343453506</c:v>
                </c:pt>
                <c:pt idx="129">
                  <c:v>0.90702087286527511</c:v>
                </c:pt>
                <c:pt idx="130">
                  <c:v>0.91385199240986714</c:v>
                </c:pt>
                <c:pt idx="131">
                  <c:v>0.9214421252371916</c:v>
                </c:pt>
                <c:pt idx="132">
                  <c:v>0.92922201138519922</c:v>
                </c:pt>
                <c:pt idx="133">
                  <c:v>0.93700189753320684</c:v>
                </c:pt>
                <c:pt idx="134">
                  <c:v>0.94383301707779887</c:v>
                </c:pt>
                <c:pt idx="135">
                  <c:v>0.95066413662239091</c:v>
                </c:pt>
                <c:pt idx="136">
                  <c:v>0.95768500948766599</c:v>
                </c:pt>
                <c:pt idx="137">
                  <c:v>0.9650853889943074</c:v>
                </c:pt>
                <c:pt idx="138">
                  <c:v>0.97210626185958249</c:v>
                </c:pt>
                <c:pt idx="139">
                  <c:v>0.97931688804554085</c:v>
                </c:pt>
                <c:pt idx="140">
                  <c:v>0.98671726755218214</c:v>
                </c:pt>
                <c:pt idx="141">
                  <c:v>0.99259962049335859</c:v>
                </c:pt>
                <c:pt idx="142">
                  <c:v>0.99677419354838714</c:v>
                </c:pt>
                <c:pt idx="143">
                  <c:v>0.99943074003795063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F3-4749-B433-99EFB690A6C4}"/>
            </c:ext>
          </c:extLst>
        </c:ser>
        <c:ser>
          <c:idx val="10"/>
          <c:order val="11"/>
          <c:tx>
            <c:strRef>
              <c:f>Data!$AQ$1</c:f>
              <c:strCache>
                <c:ptCount val="1"/>
                <c:pt idx="0">
                  <c:v>Relative-Error</c:v>
                </c:pt>
              </c:strCache>
            </c:strRef>
          </c:tx>
          <c:spPr>
            <a:ln w="3492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Data!$AQ$2:$AQ$231</c:f>
              <c:numCache>
                <c:formatCode>0%</c:formatCode>
                <c:ptCount val="230"/>
                <c:pt idx="0">
                  <c:v>6.1538461538461538E-3</c:v>
                </c:pt>
                <c:pt idx="1">
                  <c:v>3.0769230769230771E-2</c:v>
                </c:pt>
                <c:pt idx="2">
                  <c:v>9.8461538461538461E-2</c:v>
                </c:pt>
                <c:pt idx="3">
                  <c:v>0.19076923076923077</c:v>
                </c:pt>
                <c:pt idx="4">
                  <c:v>0.30461538461538462</c:v>
                </c:pt>
                <c:pt idx="5">
                  <c:v>0.39384615384615385</c:v>
                </c:pt>
                <c:pt idx="6">
                  <c:v>0.4646153846153846</c:v>
                </c:pt>
                <c:pt idx="7">
                  <c:v>0.51076923076923075</c:v>
                </c:pt>
                <c:pt idx="8">
                  <c:v>0.54153846153846152</c:v>
                </c:pt>
                <c:pt idx="9">
                  <c:v>0.56923076923076921</c:v>
                </c:pt>
                <c:pt idx="10">
                  <c:v>0.57538461538461538</c:v>
                </c:pt>
                <c:pt idx="11">
                  <c:v>0.58769230769230774</c:v>
                </c:pt>
                <c:pt idx="12">
                  <c:v>0.5938461538461538</c:v>
                </c:pt>
                <c:pt idx="13">
                  <c:v>0.59692307692307689</c:v>
                </c:pt>
                <c:pt idx="14">
                  <c:v>0.60307692307692307</c:v>
                </c:pt>
                <c:pt idx="15">
                  <c:v>0.60615384615384615</c:v>
                </c:pt>
                <c:pt idx="16">
                  <c:v>0.60615384615384615</c:v>
                </c:pt>
                <c:pt idx="17">
                  <c:v>0.61230769230769233</c:v>
                </c:pt>
                <c:pt idx="18">
                  <c:v>0.61538461538461542</c:v>
                </c:pt>
                <c:pt idx="19">
                  <c:v>0.61846153846153851</c:v>
                </c:pt>
                <c:pt idx="20">
                  <c:v>0.63076923076923075</c:v>
                </c:pt>
                <c:pt idx="21">
                  <c:v>0.63384615384615384</c:v>
                </c:pt>
                <c:pt idx="22">
                  <c:v>0.63076923076923075</c:v>
                </c:pt>
                <c:pt idx="23">
                  <c:v>0.64</c:v>
                </c:pt>
                <c:pt idx="24">
                  <c:v>0.6430769230769231</c:v>
                </c:pt>
                <c:pt idx="25">
                  <c:v>0.64615384615384619</c:v>
                </c:pt>
                <c:pt idx="26">
                  <c:v>0.65230769230769226</c:v>
                </c:pt>
                <c:pt idx="27">
                  <c:v>0.64923076923076928</c:v>
                </c:pt>
                <c:pt idx="28">
                  <c:v>0.65538461538461534</c:v>
                </c:pt>
                <c:pt idx="29">
                  <c:v>0.65846153846153843</c:v>
                </c:pt>
                <c:pt idx="30">
                  <c:v>0.66461538461538461</c:v>
                </c:pt>
                <c:pt idx="31">
                  <c:v>0.66461538461538461</c:v>
                </c:pt>
                <c:pt idx="32">
                  <c:v>0.67384615384615387</c:v>
                </c:pt>
                <c:pt idx="33">
                  <c:v>0.67384615384615387</c:v>
                </c:pt>
                <c:pt idx="34">
                  <c:v>0.67692307692307696</c:v>
                </c:pt>
                <c:pt idx="35">
                  <c:v>0.68</c:v>
                </c:pt>
                <c:pt idx="36">
                  <c:v>0.68307692307692303</c:v>
                </c:pt>
                <c:pt idx="37">
                  <c:v>0.67076923076923078</c:v>
                </c:pt>
                <c:pt idx="38">
                  <c:v>0.69230769230769229</c:v>
                </c:pt>
                <c:pt idx="39">
                  <c:v>0.69538461538461538</c:v>
                </c:pt>
                <c:pt idx="40">
                  <c:v>0.69846153846153847</c:v>
                </c:pt>
                <c:pt idx="41">
                  <c:v>0.70153846153846156</c:v>
                </c:pt>
                <c:pt idx="42">
                  <c:v>0.70461538461538464</c:v>
                </c:pt>
                <c:pt idx="43">
                  <c:v>0.70769230769230773</c:v>
                </c:pt>
                <c:pt idx="44">
                  <c:v>0.71076923076923082</c:v>
                </c:pt>
                <c:pt idx="45">
                  <c:v>0.7138461538461538</c:v>
                </c:pt>
                <c:pt idx="46">
                  <c:v>0.70769230769230773</c:v>
                </c:pt>
                <c:pt idx="47">
                  <c:v>0.68615384615384611</c:v>
                </c:pt>
                <c:pt idx="48">
                  <c:v>0.72615384615384615</c:v>
                </c:pt>
                <c:pt idx="49">
                  <c:v>0.72615384615384615</c:v>
                </c:pt>
                <c:pt idx="50">
                  <c:v>0.73230769230769233</c:v>
                </c:pt>
                <c:pt idx="51">
                  <c:v>0.72923076923076924</c:v>
                </c:pt>
                <c:pt idx="52">
                  <c:v>0.7384615384615385</c:v>
                </c:pt>
                <c:pt idx="53">
                  <c:v>0.74153846153846159</c:v>
                </c:pt>
                <c:pt idx="54">
                  <c:v>0.74461538461538457</c:v>
                </c:pt>
                <c:pt idx="55">
                  <c:v>0.74461538461538457</c:v>
                </c:pt>
                <c:pt idx="56">
                  <c:v>0.75076923076923074</c:v>
                </c:pt>
                <c:pt idx="57">
                  <c:v>0.75384615384615383</c:v>
                </c:pt>
                <c:pt idx="58">
                  <c:v>0.75692307692307692</c:v>
                </c:pt>
                <c:pt idx="59">
                  <c:v>0.75076923076923074</c:v>
                </c:pt>
                <c:pt idx="60">
                  <c:v>0.76</c:v>
                </c:pt>
                <c:pt idx="61">
                  <c:v>0.72615384615384615</c:v>
                </c:pt>
                <c:pt idx="62">
                  <c:v>0.76</c:v>
                </c:pt>
                <c:pt idx="63">
                  <c:v>0.77538461538461534</c:v>
                </c:pt>
                <c:pt idx="64">
                  <c:v>0.78153846153846152</c:v>
                </c:pt>
                <c:pt idx="65">
                  <c:v>0.7846153846153846</c:v>
                </c:pt>
                <c:pt idx="66">
                  <c:v>0.78769230769230769</c:v>
                </c:pt>
                <c:pt idx="67">
                  <c:v>0.78769230769230769</c:v>
                </c:pt>
                <c:pt idx="68">
                  <c:v>0.79076923076923078</c:v>
                </c:pt>
                <c:pt idx="69">
                  <c:v>0.79384615384615387</c:v>
                </c:pt>
                <c:pt idx="70">
                  <c:v>0.79076923076923078</c:v>
                </c:pt>
                <c:pt idx="71">
                  <c:v>0.8</c:v>
                </c:pt>
                <c:pt idx="72">
                  <c:v>0.80307692307692302</c:v>
                </c:pt>
                <c:pt idx="73">
                  <c:v>0.8</c:v>
                </c:pt>
                <c:pt idx="74">
                  <c:v>0.80615384615384611</c:v>
                </c:pt>
                <c:pt idx="75">
                  <c:v>0.80615384615384611</c:v>
                </c:pt>
                <c:pt idx="76">
                  <c:v>0.81230769230769229</c:v>
                </c:pt>
                <c:pt idx="77">
                  <c:v>0.81538461538461537</c:v>
                </c:pt>
                <c:pt idx="78">
                  <c:v>0.81538461538461537</c:v>
                </c:pt>
                <c:pt idx="79">
                  <c:v>0.81846153846153846</c:v>
                </c:pt>
                <c:pt idx="80">
                  <c:v>0.81846153846153846</c:v>
                </c:pt>
                <c:pt idx="81">
                  <c:v>0.82461538461538464</c:v>
                </c:pt>
                <c:pt idx="82">
                  <c:v>0.82153846153846155</c:v>
                </c:pt>
                <c:pt idx="83">
                  <c:v>0.83076923076923082</c:v>
                </c:pt>
                <c:pt idx="84">
                  <c:v>0.83384615384615379</c:v>
                </c:pt>
                <c:pt idx="85">
                  <c:v>0.83692307692307688</c:v>
                </c:pt>
                <c:pt idx="86">
                  <c:v>0.84</c:v>
                </c:pt>
                <c:pt idx="87">
                  <c:v>0.84307692307692306</c:v>
                </c:pt>
                <c:pt idx="88">
                  <c:v>0.83384615384615379</c:v>
                </c:pt>
                <c:pt idx="89">
                  <c:v>0.84615384615384615</c:v>
                </c:pt>
                <c:pt idx="90">
                  <c:v>0.85230769230769232</c:v>
                </c:pt>
                <c:pt idx="91">
                  <c:v>0.85538461538461541</c:v>
                </c:pt>
                <c:pt idx="92">
                  <c:v>0.84615384615384615</c:v>
                </c:pt>
                <c:pt idx="93">
                  <c:v>0.86153846153846159</c:v>
                </c:pt>
                <c:pt idx="94">
                  <c:v>0.86769230769230765</c:v>
                </c:pt>
                <c:pt idx="95">
                  <c:v>0.86461538461538456</c:v>
                </c:pt>
                <c:pt idx="96">
                  <c:v>0.87076923076923074</c:v>
                </c:pt>
                <c:pt idx="97">
                  <c:v>0.87384615384615383</c:v>
                </c:pt>
                <c:pt idx="98">
                  <c:v>0.87692307692307692</c:v>
                </c:pt>
                <c:pt idx="99">
                  <c:v>0.87692307692307692</c:v>
                </c:pt>
                <c:pt idx="100">
                  <c:v>0.88</c:v>
                </c:pt>
                <c:pt idx="101">
                  <c:v>0.88615384615384618</c:v>
                </c:pt>
                <c:pt idx="102">
                  <c:v>0.88615384615384618</c:v>
                </c:pt>
                <c:pt idx="103">
                  <c:v>0.88307692307692309</c:v>
                </c:pt>
                <c:pt idx="104">
                  <c:v>0.88615384615384618</c:v>
                </c:pt>
                <c:pt idx="105">
                  <c:v>0.89230769230769236</c:v>
                </c:pt>
                <c:pt idx="106">
                  <c:v>0.89538461538461533</c:v>
                </c:pt>
                <c:pt idx="107">
                  <c:v>0.89538461538461533</c:v>
                </c:pt>
                <c:pt idx="108">
                  <c:v>0.89846153846153842</c:v>
                </c:pt>
                <c:pt idx="109">
                  <c:v>0.9046153846153846</c:v>
                </c:pt>
                <c:pt idx="110">
                  <c:v>0.91076923076923078</c:v>
                </c:pt>
                <c:pt idx="111">
                  <c:v>0.91076923076923078</c:v>
                </c:pt>
                <c:pt idx="112">
                  <c:v>0.91384615384615386</c:v>
                </c:pt>
                <c:pt idx="113">
                  <c:v>0.90769230769230769</c:v>
                </c:pt>
                <c:pt idx="114">
                  <c:v>0.92</c:v>
                </c:pt>
                <c:pt idx="115">
                  <c:v>0.92307692307692313</c:v>
                </c:pt>
                <c:pt idx="116">
                  <c:v>0.92615384615384611</c:v>
                </c:pt>
                <c:pt idx="117">
                  <c:v>0.92923076923076919</c:v>
                </c:pt>
                <c:pt idx="118">
                  <c:v>0.93230769230769228</c:v>
                </c:pt>
                <c:pt idx="119">
                  <c:v>0.93538461538461537</c:v>
                </c:pt>
                <c:pt idx="120">
                  <c:v>0.93846153846153846</c:v>
                </c:pt>
                <c:pt idx="121">
                  <c:v>0.93538461538461537</c:v>
                </c:pt>
                <c:pt idx="122">
                  <c:v>0.94769230769230772</c:v>
                </c:pt>
                <c:pt idx="123">
                  <c:v>0.94769230769230772</c:v>
                </c:pt>
                <c:pt idx="124">
                  <c:v>0.95076923076923081</c:v>
                </c:pt>
                <c:pt idx="125">
                  <c:v>0.9538461538461539</c:v>
                </c:pt>
                <c:pt idx="126">
                  <c:v>0.96</c:v>
                </c:pt>
                <c:pt idx="127">
                  <c:v>0.96</c:v>
                </c:pt>
                <c:pt idx="128">
                  <c:v>0.93538461538461537</c:v>
                </c:pt>
                <c:pt idx="129">
                  <c:v>0.96923076923076923</c:v>
                </c:pt>
                <c:pt idx="130">
                  <c:v>0.96923076923076923</c:v>
                </c:pt>
                <c:pt idx="131">
                  <c:v>0.97538461538461541</c:v>
                </c:pt>
                <c:pt idx="132">
                  <c:v>0.97846153846153849</c:v>
                </c:pt>
                <c:pt idx="133">
                  <c:v>0.98153846153846158</c:v>
                </c:pt>
                <c:pt idx="134">
                  <c:v>0.98461538461538467</c:v>
                </c:pt>
                <c:pt idx="135">
                  <c:v>0.98769230769230765</c:v>
                </c:pt>
                <c:pt idx="136">
                  <c:v>0.99076923076923074</c:v>
                </c:pt>
                <c:pt idx="137">
                  <c:v>0.99076923076923074</c:v>
                </c:pt>
                <c:pt idx="138">
                  <c:v>0.99692307692307691</c:v>
                </c:pt>
                <c:pt idx="139">
                  <c:v>0.99692307692307691</c:v>
                </c:pt>
                <c:pt idx="140">
                  <c:v>1</c:v>
                </c:pt>
                <c:pt idx="141">
                  <c:v>0.98769230769230765</c:v>
                </c:pt>
                <c:pt idx="142">
                  <c:v>0.92615384615384611</c:v>
                </c:pt>
                <c:pt idx="143">
                  <c:v>0.8584615384615385</c:v>
                </c:pt>
                <c:pt idx="144">
                  <c:v>0.75692307692307692</c:v>
                </c:pt>
                <c:pt idx="145">
                  <c:v>0.64923076923076928</c:v>
                </c:pt>
                <c:pt idx="146">
                  <c:v>0.53538461538461535</c:v>
                </c:pt>
                <c:pt idx="147">
                  <c:v>0.42461538461538462</c:v>
                </c:pt>
                <c:pt idx="148">
                  <c:v>0.31384615384615383</c:v>
                </c:pt>
                <c:pt idx="149">
                  <c:v>0.20615384615384616</c:v>
                </c:pt>
                <c:pt idx="150">
                  <c:v>0.10461538461538461</c:v>
                </c:pt>
                <c:pt idx="151">
                  <c:v>0.04</c:v>
                </c:pt>
                <c:pt idx="152">
                  <c:v>2.7692307692307693E-2</c:v>
                </c:pt>
                <c:pt idx="153">
                  <c:v>0.04</c:v>
                </c:pt>
                <c:pt idx="154">
                  <c:v>5.2307692307692305E-2</c:v>
                </c:pt>
                <c:pt idx="155">
                  <c:v>5.5384615384615386E-2</c:v>
                </c:pt>
                <c:pt idx="156">
                  <c:v>4.6153846153846156E-2</c:v>
                </c:pt>
                <c:pt idx="157">
                  <c:v>3.3846153846153845E-2</c:v>
                </c:pt>
                <c:pt idx="158">
                  <c:v>2.1538461538461538E-2</c:v>
                </c:pt>
                <c:pt idx="159">
                  <c:v>6.1538461538461538E-3</c:v>
                </c:pt>
                <c:pt idx="160">
                  <c:v>-6.1538461538461538E-3</c:v>
                </c:pt>
                <c:pt idx="161">
                  <c:v>-1.5384615384615385E-2</c:v>
                </c:pt>
                <c:pt idx="162">
                  <c:v>-2.7692307692307693E-2</c:v>
                </c:pt>
                <c:pt idx="163">
                  <c:v>-3.6923076923076927E-2</c:v>
                </c:pt>
                <c:pt idx="164">
                  <c:v>-4.9230769230769231E-2</c:v>
                </c:pt>
                <c:pt idx="165">
                  <c:v>-5.2307692307692305E-2</c:v>
                </c:pt>
                <c:pt idx="166">
                  <c:v>-5.2307692307692305E-2</c:v>
                </c:pt>
                <c:pt idx="167">
                  <c:v>-4.9230769230769231E-2</c:v>
                </c:pt>
                <c:pt idx="168">
                  <c:v>-3.6923076923076927E-2</c:v>
                </c:pt>
                <c:pt idx="169">
                  <c:v>-2.7692307692307693E-2</c:v>
                </c:pt>
                <c:pt idx="170">
                  <c:v>-1.5384615384615385E-2</c:v>
                </c:pt>
                <c:pt idx="171">
                  <c:v>-6.1538461538461538E-3</c:v>
                </c:pt>
                <c:pt idx="172">
                  <c:v>6.1538461538461538E-3</c:v>
                </c:pt>
                <c:pt idx="173">
                  <c:v>1.5384615384615385E-2</c:v>
                </c:pt>
                <c:pt idx="174">
                  <c:v>2.1538461538461538E-2</c:v>
                </c:pt>
                <c:pt idx="175">
                  <c:v>3.0769230769230771E-2</c:v>
                </c:pt>
                <c:pt idx="176">
                  <c:v>3.6923076923076927E-2</c:v>
                </c:pt>
                <c:pt idx="177">
                  <c:v>0.04</c:v>
                </c:pt>
                <c:pt idx="178">
                  <c:v>0.04</c:v>
                </c:pt>
                <c:pt idx="179">
                  <c:v>3.6923076923076927E-2</c:v>
                </c:pt>
                <c:pt idx="180">
                  <c:v>3.3846153846153845E-2</c:v>
                </c:pt>
                <c:pt idx="181">
                  <c:v>2.7692307692307693E-2</c:v>
                </c:pt>
                <c:pt idx="182">
                  <c:v>1.8461538461538463E-2</c:v>
                </c:pt>
                <c:pt idx="183">
                  <c:v>9.2307692307692316E-3</c:v>
                </c:pt>
                <c:pt idx="184">
                  <c:v>0</c:v>
                </c:pt>
                <c:pt idx="185">
                  <c:v>-9.2307692307692316E-3</c:v>
                </c:pt>
                <c:pt idx="186">
                  <c:v>-1.5384615384615385E-2</c:v>
                </c:pt>
                <c:pt idx="187">
                  <c:v>-2.1538461538461538E-2</c:v>
                </c:pt>
                <c:pt idx="188">
                  <c:v>-3.0769230769230771E-2</c:v>
                </c:pt>
                <c:pt idx="189">
                  <c:v>-3.3846153846153845E-2</c:v>
                </c:pt>
                <c:pt idx="190">
                  <c:v>-3.6923076923076927E-2</c:v>
                </c:pt>
                <c:pt idx="191">
                  <c:v>-3.6923076923076927E-2</c:v>
                </c:pt>
                <c:pt idx="192">
                  <c:v>-3.3846153846153845E-2</c:v>
                </c:pt>
                <c:pt idx="193">
                  <c:v>-3.0769230769230771E-2</c:v>
                </c:pt>
                <c:pt idx="194">
                  <c:v>-2.4615384615384615E-2</c:v>
                </c:pt>
                <c:pt idx="195">
                  <c:v>-1.5384615384615385E-2</c:v>
                </c:pt>
                <c:pt idx="196">
                  <c:v>-6.1538461538461538E-3</c:v>
                </c:pt>
                <c:pt idx="197">
                  <c:v>0</c:v>
                </c:pt>
                <c:pt idx="198">
                  <c:v>6.1538461538461538E-3</c:v>
                </c:pt>
                <c:pt idx="199">
                  <c:v>1.2307692307692308E-2</c:v>
                </c:pt>
                <c:pt idx="200">
                  <c:v>1.5384615384615385E-2</c:v>
                </c:pt>
                <c:pt idx="201">
                  <c:v>1.8461538461538463E-2</c:v>
                </c:pt>
                <c:pt idx="202">
                  <c:v>2.1538461538461538E-2</c:v>
                </c:pt>
                <c:pt idx="203">
                  <c:v>2.4615384615384615E-2</c:v>
                </c:pt>
                <c:pt idx="204">
                  <c:v>2.1538461538461538E-2</c:v>
                </c:pt>
                <c:pt idx="205">
                  <c:v>2.1538461538461538E-2</c:v>
                </c:pt>
                <c:pt idx="206">
                  <c:v>1.8461538461538463E-2</c:v>
                </c:pt>
                <c:pt idx="207">
                  <c:v>1.2307692307692308E-2</c:v>
                </c:pt>
                <c:pt idx="208">
                  <c:v>6.1538461538461538E-3</c:v>
                </c:pt>
                <c:pt idx="209">
                  <c:v>0</c:v>
                </c:pt>
                <c:pt idx="210">
                  <c:v>-6.1538461538461538E-3</c:v>
                </c:pt>
                <c:pt idx="211">
                  <c:v>-9.2307692307692316E-3</c:v>
                </c:pt>
                <c:pt idx="212">
                  <c:v>-1.2307692307692308E-2</c:v>
                </c:pt>
                <c:pt idx="213">
                  <c:v>-1.5384615384615385E-2</c:v>
                </c:pt>
                <c:pt idx="214">
                  <c:v>-1.5384615384615385E-2</c:v>
                </c:pt>
                <c:pt idx="215">
                  <c:v>-1.2307692307692308E-2</c:v>
                </c:pt>
                <c:pt idx="216">
                  <c:v>-1.2307692307692308E-2</c:v>
                </c:pt>
                <c:pt idx="217">
                  <c:v>-9.2307692307692316E-3</c:v>
                </c:pt>
                <c:pt idx="218">
                  <c:v>-9.2307692307692316E-3</c:v>
                </c:pt>
                <c:pt idx="219">
                  <c:v>-6.1538461538461538E-3</c:v>
                </c:pt>
                <c:pt idx="220">
                  <c:v>-3.0769230769230769E-3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F3-4749-B433-99EFB690A6C4}"/>
            </c:ext>
          </c:extLst>
        </c:ser>
        <c:ser>
          <c:idx val="11"/>
          <c:order val="12"/>
          <c:tx>
            <c:strRef>
              <c:f>Data!$AS$1</c:f>
              <c:strCache>
                <c:ptCount val="1"/>
                <c:pt idx="0">
                  <c:v>Catch-up (100ms)</c:v>
                </c:pt>
              </c:strCache>
            </c:strRef>
          </c:tx>
          <c:spPr>
            <a:ln w="25400" cap="rnd">
              <a:solidFill>
                <a:srgbClr val="92028B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Data!$AS$2:$AS$231</c:f>
              <c:numCache>
                <c:formatCode>0.000</c:formatCode>
                <c:ptCount val="230"/>
                <c:pt idx="0">
                  <c:v>6.7727734507280731E-3</c:v>
                </c:pt>
                <c:pt idx="1">
                  <c:v>3.3863867253640365E-2</c:v>
                </c:pt>
                <c:pt idx="2">
                  <c:v>0.10836437521164917</c:v>
                </c:pt>
                <c:pt idx="3">
                  <c:v>0.20995597697257026</c:v>
                </c:pt>
                <c:pt idx="4">
                  <c:v>0.33525228581103961</c:v>
                </c:pt>
                <c:pt idx="5">
                  <c:v>0.43345750084659668</c:v>
                </c:pt>
                <c:pt idx="6">
                  <c:v>0.51134439552996946</c:v>
                </c:pt>
                <c:pt idx="7">
                  <c:v>0.56214019641043</c:v>
                </c:pt>
                <c:pt idx="8">
                  <c:v>0.59600406366407044</c:v>
                </c:pt>
                <c:pt idx="9">
                  <c:v>0.6264815441923467</c:v>
                </c:pt>
                <c:pt idx="10">
                  <c:v>0.63325431764307483</c:v>
                </c:pt>
                <c:pt idx="11">
                  <c:v>0.64679986454453098</c:v>
                </c:pt>
                <c:pt idx="12">
                  <c:v>0.653572637995259</c:v>
                </c:pt>
                <c:pt idx="13">
                  <c:v>0.65695902472062306</c:v>
                </c:pt>
                <c:pt idx="14">
                  <c:v>0.66373179817135119</c:v>
                </c:pt>
                <c:pt idx="15">
                  <c:v>0.66711818489671515</c:v>
                </c:pt>
                <c:pt idx="16">
                  <c:v>0.66711818489671515</c:v>
                </c:pt>
                <c:pt idx="17">
                  <c:v>0.67389095834744328</c:v>
                </c:pt>
                <c:pt idx="18">
                  <c:v>0.67727734507280724</c:v>
                </c:pt>
                <c:pt idx="19">
                  <c:v>0.6806637317981713</c:v>
                </c:pt>
                <c:pt idx="20">
                  <c:v>0.69420927869962745</c:v>
                </c:pt>
                <c:pt idx="21">
                  <c:v>0.69759566542499152</c:v>
                </c:pt>
                <c:pt idx="22">
                  <c:v>0.69420927869962745</c:v>
                </c:pt>
                <c:pt idx="23">
                  <c:v>0.70436843887571954</c:v>
                </c:pt>
                <c:pt idx="24">
                  <c:v>0.7077548256010836</c:v>
                </c:pt>
                <c:pt idx="25">
                  <c:v>0.71114121232644767</c:v>
                </c:pt>
                <c:pt idx="26">
                  <c:v>0.71791398577717569</c:v>
                </c:pt>
                <c:pt idx="27">
                  <c:v>0.71452759905181173</c:v>
                </c:pt>
                <c:pt idx="28">
                  <c:v>0.72130037250253976</c:v>
                </c:pt>
                <c:pt idx="29">
                  <c:v>0.72468675922790382</c:v>
                </c:pt>
                <c:pt idx="30">
                  <c:v>0.73145953267863184</c:v>
                </c:pt>
                <c:pt idx="31">
                  <c:v>0.73145953267863184</c:v>
                </c:pt>
                <c:pt idx="32">
                  <c:v>0.74161869285472393</c:v>
                </c:pt>
                <c:pt idx="33">
                  <c:v>0.74161869285472393</c:v>
                </c:pt>
                <c:pt idx="34">
                  <c:v>0.74500507958008799</c:v>
                </c:pt>
                <c:pt idx="35">
                  <c:v>0.74839146630545206</c:v>
                </c:pt>
                <c:pt idx="36">
                  <c:v>0.75177785303081612</c:v>
                </c:pt>
                <c:pt idx="37">
                  <c:v>0.73823230612935997</c:v>
                </c:pt>
                <c:pt idx="38">
                  <c:v>0.76193701320690821</c:v>
                </c:pt>
                <c:pt idx="39">
                  <c:v>0.76532339993227227</c:v>
                </c:pt>
                <c:pt idx="40">
                  <c:v>0.76870978665763623</c:v>
                </c:pt>
                <c:pt idx="41">
                  <c:v>0.77209617338300029</c:v>
                </c:pt>
                <c:pt idx="42">
                  <c:v>0.77548256010836436</c:v>
                </c:pt>
                <c:pt idx="43">
                  <c:v>0.77886894683372843</c:v>
                </c:pt>
                <c:pt idx="44">
                  <c:v>0.78225533355909238</c:v>
                </c:pt>
                <c:pt idx="45">
                  <c:v>0.78564172028445645</c:v>
                </c:pt>
                <c:pt idx="46">
                  <c:v>0.77886894683372843</c:v>
                </c:pt>
                <c:pt idx="47">
                  <c:v>0.75516423975618008</c:v>
                </c:pt>
                <c:pt idx="48">
                  <c:v>0.7991872671859126</c:v>
                </c:pt>
                <c:pt idx="49">
                  <c:v>0.7991872671859126</c:v>
                </c:pt>
                <c:pt idx="50">
                  <c:v>0.80596004063664073</c:v>
                </c:pt>
                <c:pt idx="51">
                  <c:v>0.80257365391127666</c:v>
                </c:pt>
                <c:pt idx="52">
                  <c:v>0.81273281408736875</c:v>
                </c:pt>
                <c:pt idx="53">
                  <c:v>0.81611920081273281</c:v>
                </c:pt>
                <c:pt idx="54">
                  <c:v>0.81950558753809677</c:v>
                </c:pt>
                <c:pt idx="55">
                  <c:v>0.81950558753809677</c:v>
                </c:pt>
                <c:pt idx="56">
                  <c:v>0.8262783609888249</c:v>
                </c:pt>
                <c:pt idx="57">
                  <c:v>0.82966474771418897</c:v>
                </c:pt>
                <c:pt idx="58">
                  <c:v>0.83305113443955292</c:v>
                </c:pt>
                <c:pt idx="59">
                  <c:v>0.8262783609888249</c:v>
                </c:pt>
                <c:pt idx="60">
                  <c:v>0.83643752116491699</c:v>
                </c:pt>
                <c:pt idx="61">
                  <c:v>0.7991872671859126</c:v>
                </c:pt>
                <c:pt idx="62">
                  <c:v>0.83643752116491699</c:v>
                </c:pt>
                <c:pt idx="63">
                  <c:v>0.8533694547917372</c:v>
                </c:pt>
                <c:pt idx="64">
                  <c:v>0.86014222824246522</c:v>
                </c:pt>
                <c:pt idx="65">
                  <c:v>0.86352861496782929</c:v>
                </c:pt>
                <c:pt idx="66">
                  <c:v>0.86691500169319335</c:v>
                </c:pt>
                <c:pt idx="67">
                  <c:v>0.86691500169319335</c:v>
                </c:pt>
                <c:pt idx="68">
                  <c:v>0.87030138841855742</c:v>
                </c:pt>
                <c:pt idx="69">
                  <c:v>0.87368777514392137</c:v>
                </c:pt>
                <c:pt idx="70">
                  <c:v>0.87030138841855742</c:v>
                </c:pt>
                <c:pt idx="71">
                  <c:v>0.88046054859464951</c:v>
                </c:pt>
                <c:pt idx="72">
                  <c:v>0.88384693532001346</c:v>
                </c:pt>
                <c:pt idx="73">
                  <c:v>0.88046054859464951</c:v>
                </c:pt>
                <c:pt idx="74">
                  <c:v>0.88723332204537753</c:v>
                </c:pt>
                <c:pt idx="75">
                  <c:v>0.88723332204537753</c:v>
                </c:pt>
                <c:pt idx="76">
                  <c:v>0.89400609549610566</c:v>
                </c:pt>
                <c:pt idx="77">
                  <c:v>0.89739248222146961</c:v>
                </c:pt>
                <c:pt idx="78">
                  <c:v>0.89739248222146961</c:v>
                </c:pt>
                <c:pt idx="79">
                  <c:v>0.90077886894683368</c:v>
                </c:pt>
                <c:pt idx="80">
                  <c:v>0.90077886894683368</c:v>
                </c:pt>
                <c:pt idx="81">
                  <c:v>0.90755164239756181</c:v>
                </c:pt>
                <c:pt idx="82">
                  <c:v>0.90416525567219774</c:v>
                </c:pt>
                <c:pt idx="83">
                  <c:v>0.91432441584828983</c:v>
                </c:pt>
                <c:pt idx="84">
                  <c:v>0.91771080257365389</c:v>
                </c:pt>
                <c:pt idx="85">
                  <c:v>0.92109718929901796</c:v>
                </c:pt>
                <c:pt idx="86">
                  <c:v>0.92448357602438191</c:v>
                </c:pt>
                <c:pt idx="87">
                  <c:v>0.92786996274974598</c:v>
                </c:pt>
                <c:pt idx="88">
                  <c:v>0.91771080257365389</c:v>
                </c:pt>
                <c:pt idx="89">
                  <c:v>0.93125634947511005</c:v>
                </c:pt>
                <c:pt idx="90">
                  <c:v>0.93802912292583807</c:v>
                </c:pt>
                <c:pt idx="91">
                  <c:v>0.94141550965120213</c:v>
                </c:pt>
                <c:pt idx="92">
                  <c:v>0.93125634947511005</c:v>
                </c:pt>
                <c:pt idx="93">
                  <c:v>0.94818828310193015</c:v>
                </c:pt>
                <c:pt idx="94">
                  <c:v>0.95496105655265828</c:v>
                </c:pt>
                <c:pt idx="95">
                  <c:v>0.95157466982729422</c:v>
                </c:pt>
                <c:pt idx="96">
                  <c:v>0.95834744327802235</c:v>
                </c:pt>
                <c:pt idx="97">
                  <c:v>0.9617338300033863</c:v>
                </c:pt>
                <c:pt idx="98">
                  <c:v>0.96512021672875037</c:v>
                </c:pt>
                <c:pt idx="99">
                  <c:v>0.96512021672875037</c:v>
                </c:pt>
                <c:pt idx="100">
                  <c:v>0.96850660345411443</c:v>
                </c:pt>
                <c:pt idx="101">
                  <c:v>0.97527937690484245</c:v>
                </c:pt>
                <c:pt idx="102">
                  <c:v>0.97527937690484245</c:v>
                </c:pt>
                <c:pt idx="103">
                  <c:v>0.9718929901794785</c:v>
                </c:pt>
                <c:pt idx="104">
                  <c:v>0.97527937690484245</c:v>
                </c:pt>
                <c:pt idx="105">
                  <c:v>0.98205215035557059</c:v>
                </c:pt>
                <c:pt idx="106">
                  <c:v>0.98543853708093465</c:v>
                </c:pt>
                <c:pt idx="107">
                  <c:v>0.98543853708093465</c:v>
                </c:pt>
                <c:pt idx="108">
                  <c:v>0.98882492380629861</c:v>
                </c:pt>
                <c:pt idx="109">
                  <c:v>0.99559769725702674</c:v>
                </c:pt>
                <c:pt idx="110">
                  <c:v>1.0023704707077548</c:v>
                </c:pt>
                <c:pt idx="111">
                  <c:v>1.0023704707077548</c:v>
                </c:pt>
                <c:pt idx="112">
                  <c:v>1.0057568574331188</c:v>
                </c:pt>
                <c:pt idx="113">
                  <c:v>0.9989840839823908</c:v>
                </c:pt>
                <c:pt idx="114">
                  <c:v>1.012529630883847</c:v>
                </c:pt>
                <c:pt idx="115">
                  <c:v>1.015916017609211</c:v>
                </c:pt>
                <c:pt idx="116">
                  <c:v>1.0193024043345749</c:v>
                </c:pt>
                <c:pt idx="117">
                  <c:v>1.0226887910599389</c:v>
                </c:pt>
                <c:pt idx="118">
                  <c:v>1.026075177785303</c:v>
                </c:pt>
                <c:pt idx="119">
                  <c:v>1.0294615645106671</c:v>
                </c:pt>
                <c:pt idx="120">
                  <c:v>1.0328479512360311</c:v>
                </c:pt>
                <c:pt idx="121">
                  <c:v>1.0294615645106671</c:v>
                </c:pt>
                <c:pt idx="122">
                  <c:v>1.0430071114121233</c:v>
                </c:pt>
                <c:pt idx="123">
                  <c:v>1.0430071114121233</c:v>
                </c:pt>
                <c:pt idx="124">
                  <c:v>1.0463934981374872</c:v>
                </c:pt>
                <c:pt idx="125">
                  <c:v>1.0497798848628512</c:v>
                </c:pt>
                <c:pt idx="126">
                  <c:v>1.0565526583135794</c:v>
                </c:pt>
                <c:pt idx="127">
                  <c:v>1.0565526583135794</c:v>
                </c:pt>
                <c:pt idx="128">
                  <c:v>1.0294615645106671</c:v>
                </c:pt>
                <c:pt idx="129">
                  <c:v>1.0667118184896716</c:v>
                </c:pt>
                <c:pt idx="130">
                  <c:v>1.0667118184896716</c:v>
                </c:pt>
                <c:pt idx="131">
                  <c:v>1.0734845919403995</c:v>
                </c:pt>
                <c:pt idx="132">
                  <c:v>1.0768709786657635</c:v>
                </c:pt>
                <c:pt idx="133">
                  <c:v>1.0802573653911276</c:v>
                </c:pt>
                <c:pt idx="134">
                  <c:v>1.0836437521164917</c:v>
                </c:pt>
                <c:pt idx="135">
                  <c:v>1.0870301388418557</c:v>
                </c:pt>
                <c:pt idx="136">
                  <c:v>1.0904165255672198</c:v>
                </c:pt>
                <c:pt idx="137">
                  <c:v>1.0904165255672198</c:v>
                </c:pt>
                <c:pt idx="138">
                  <c:v>1.0971892990179477</c:v>
                </c:pt>
                <c:pt idx="139">
                  <c:v>1.0971892990179477</c:v>
                </c:pt>
                <c:pt idx="140">
                  <c:v>1.1005756857433118</c:v>
                </c:pt>
                <c:pt idx="141">
                  <c:v>1.0870301388418557</c:v>
                </c:pt>
                <c:pt idx="142">
                  <c:v>1.0193024043345749</c:v>
                </c:pt>
                <c:pt idx="143">
                  <c:v>0.9448018963765662</c:v>
                </c:pt>
                <c:pt idx="144">
                  <c:v>0.83305113443955292</c:v>
                </c:pt>
                <c:pt idx="145">
                  <c:v>0.71452759905181173</c:v>
                </c:pt>
                <c:pt idx="146">
                  <c:v>0.58923129021334231</c:v>
                </c:pt>
                <c:pt idx="147">
                  <c:v>0.46732136810023706</c:v>
                </c:pt>
                <c:pt idx="148">
                  <c:v>0.34541144598713169</c:v>
                </c:pt>
                <c:pt idx="149">
                  <c:v>0.22688791059939045</c:v>
                </c:pt>
                <c:pt idx="150">
                  <c:v>0.11513714866237724</c:v>
                </c:pt>
                <c:pt idx="151">
                  <c:v>4.4023027429732471E-2</c:v>
                </c:pt>
                <c:pt idx="152">
                  <c:v>3.0477480528276327E-2</c:v>
                </c:pt>
                <c:pt idx="153">
                  <c:v>4.4023027429732471E-2</c:v>
                </c:pt>
                <c:pt idx="154">
                  <c:v>5.7568574331188622E-2</c:v>
                </c:pt>
                <c:pt idx="155">
                  <c:v>6.0954961056552653E-2</c:v>
                </c:pt>
                <c:pt idx="156">
                  <c:v>5.0795800880460547E-2</c:v>
                </c:pt>
                <c:pt idx="157">
                  <c:v>3.7250253979004402E-2</c:v>
                </c:pt>
                <c:pt idx="158">
                  <c:v>2.3704707077548254E-2</c:v>
                </c:pt>
                <c:pt idx="159">
                  <c:v>6.7727734507280731E-3</c:v>
                </c:pt>
                <c:pt idx="160">
                  <c:v>-6.7727734507280731E-3</c:v>
                </c:pt>
                <c:pt idx="161">
                  <c:v>-1.6931933626820182E-2</c:v>
                </c:pt>
                <c:pt idx="162">
                  <c:v>-3.0477480528276327E-2</c:v>
                </c:pt>
                <c:pt idx="163">
                  <c:v>-4.063664070436844E-2</c:v>
                </c:pt>
                <c:pt idx="164">
                  <c:v>-5.4182187605824585E-2</c:v>
                </c:pt>
                <c:pt idx="165">
                  <c:v>-5.7568574331188622E-2</c:v>
                </c:pt>
                <c:pt idx="166">
                  <c:v>-5.7568574331188622E-2</c:v>
                </c:pt>
                <c:pt idx="167">
                  <c:v>-5.4182187605824585E-2</c:v>
                </c:pt>
                <c:pt idx="168">
                  <c:v>-4.063664070436844E-2</c:v>
                </c:pt>
                <c:pt idx="169">
                  <c:v>-3.0477480528276327E-2</c:v>
                </c:pt>
                <c:pt idx="170">
                  <c:v>-1.6931933626820182E-2</c:v>
                </c:pt>
                <c:pt idx="171">
                  <c:v>-6.7727734507280731E-3</c:v>
                </c:pt>
                <c:pt idx="172">
                  <c:v>6.7727734507280731E-3</c:v>
                </c:pt>
                <c:pt idx="173">
                  <c:v>1.6931933626820182E-2</c:v>
                </c:pt>
                <c:pt idx="174">
                  <c:v>2.3704707077548254E-2</c:v>
                </c:pt>
                <c:pt idx="175">
                  <c:v>3.3863867253640365E-2</c:v>
                </c:pt>
                <c:pt idx="176">
                  <c:v>4.063664070436844E-2</c:v>
                </c:pt>
                <c:pt idx="177">
                  <c:v>4.4023027429732471E-2</c:v>
                </c:pt>
                <c:pt idx="178">
                  <c:v>4.4023027429732471E-2</c:v>
                </c:pt>
                <c:pt idx="179">
                  <c:v>4.063664070436844E-2</c:v>
                </c:pt>
                <c:pt idx="180">
                  <c:v>3.7250253979004402E-2</c:v>
                </c:pt>
                <c:pt idx="181">
                  <c:v>3.0477480528276327E-2</c:v>
                </c:pt>
                <c:pt idx="182">
                  <c:v>2.031832035218422E-2</c:v>
                </c:pt>
                <c:pt idx="183">
                  <c:v>1.015916017609211E-2</c:v>
                </c:pt>
                <c:pt idx="184">
                  <c:v>0</c:v>
                </c:pt>
                <c:pt idx="185">
                  <c:v>-1.015916017609211E-2</c:v>
                </c:pt>
                <c:pt idx="186">
                  <c:v>-1.6931933626820182E-2</c:v>
                </c:pt>
                <c:pt idx="187">
                  <c:v>-2.3704707077548254E-2</c:v>
                </c:pt>
                <c:pt idx="188">
                  <c:v>-3.3863867253640365E-2</c:v>
                </c:pt>
                <c:pt idx="189">
                  <c:v>-3.7250253979004402E-2</c:v>
                </c:pt>
                <c:pt idx="190">
                  <c:v>-4.063664070436844E-2</c:v>
                </c:pt>
                <c:pt idx="191">
                  <c:v>-4.063664070436844E-2</c:v>
                </c:pt>
                <c:pt idx="192">
                  <c:v>-3.7250253979004402E-2</c:v>
                </c:pt>
                <c:pt idx="193">
                  <c:v>-3.3863867253640365E-2</c:v>
                </c:pt>
                <c:pt idx="194">
                  <c:v>-2.7091093802912292E-2</c:v>
                </c:pt>
                <c:pt idx="195">
                  <c:v>-1.6931933626820182E-2</c:v>
                </c:pt>
                <c:pt idx="196">
                  <c:v>-6.7727734507280731E-3</c:v>
                </c:pt>
                <c:pt idx="197">
                  <c:v>0</c:v>
                </c:pt>
                <c:pt idx="198">
                  <c:v>6.7727734507280731E-3</c:v>
                </c:pt>
                <c:pt idx="199">
                  <c:v>1.3545546901456146E-2</c:v>
                </c:pt>
                <c:pt idx="200">
                  <c:v>1.6931933626820182E-2</c:v>
                </c:pt>
                <c:pt idx="201">
                  <c:v>2.031832035218422E-2</c:v>
                </c:pt>
                <c:pt idx="202">
                  <c:v>2.3704707077548254E-2</c:v>
                </c:pt>
                <c:pt idx="203">
                  <c:v>2.7091093802912292E-2</c:v>
                </c:pt>
                <c:pt idx="204">
                  <c:v>2.3704707077548254E-2</c:v>
                </c:pt>
                <c:pt idx="205">
                  <c:v>2.3704707077548254E-2</c:v>
                </c:pt>
                <c:pt idx="206">
                  <c:v>2.031832035218422E-2</c:v>
                </c:pt>
                <c:pt idx="207">
                  <c:v>1.3545546901456146E-2</c:v>
                </c:pt>
                <c:pt idx="208">
                  <c:v>6.7727734507280731E-3</c:v>
                </c:pt>
                <c:pt idx="209">
                  <c:v>0</c:v>
                </c:pt>
                <c:pt idx="210">
                  <c:v>-6.7727734507280731E-3</c:v>
                </c:pt>
                <c:pt idx="211">
                  <c:v>-1.015916017609211E-2</c:v>
                </c:pt>
                <c:pt idx="212">
                  <c:v>-1.3545546901456146E-2</c:v>
                </c:pt>
                <c:pt idx="213">
                  <c:v>-1.6931933626820182E-2</c:v>
                </c:pt>
                <c:pt idx="214">
                  <c:v>-1.6931933626820182E-2</c:v>
                </c:pt>
                <c:pt idx="215">
                  <c:v>-1.3545546901456146E-2</c:v>
                </c:pt>
                <c:pt idx="216">
                  <c:v>-1.3545546901456146E-2</c:v>
                </c:pt>
                <c:pt idx="217">
                  <c:v>-1.015916017609211E-2</c:v>
                </c:pt>
                <c:pt idx="218">
                  <c:v>-1.015916017609211E-2</c:v>
                </c:pt>
                <c:pt idx="219">
                  <c:v>-6.7727734507280731E-3</c:v>
                </c:pt>
                <c:pt idx="220">
                  <c:v>-3.3863867253640365E-3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E-40CD-927D-00131C8B7600}"/>
            </c:ext>
          </c:extLst>
        </c:ser>
        <c:ser>
          <c:idx val="12"/>
          <c:order val="13"/>
          <c:tx>
            <c:strRef>
              <c:f>Data!$AT$1</c:f>
              <c:strCache>
                <c:ptCount val="1"/>
                <c:pt idx="0">
                  <c:v>Err Speed Avg</c:v>
                </c:pt>
              </c:strCache>
            </c:strRef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Data!$AT$2:$AT$231</c:f>
              <c:numCache>
                <c:formatCode>0.000</c:formatCode>
                <c:ptCount val="230"/>
                <c:pt idx="0">
                  <c:v>0</c:v>
                </c:pt>
                <c:pt idx="1">
                  <c:v>0.26526958021088931</c:v>
                </c:pt>
                <c:pt idx="2">
                  <c:v>0.65477478444368631</c:v>
                </c:pt>
                <c:pt idx="3">
                  <c:v>0.98137330249240406</c:v>
                </c:pt>
                <c:pt idx="4">
                  <c:v>1.2874747451846902</c:v>
                </c:pt>
                <c:pt idx="5">
                  <c:v>1.6657438379910556</c:v>
                </c:pt>
                <c:pt idx="6">
                  <c:v>1.8739080561902282</c:v>
                </c:pt>
                <c:pt idx="7">
                  <c:v>1.7783190543126348</c:v>
                </c:pt>
                <c:pt idx="8">
                  <c:v>1.5210016348467692</c:v>
                </c:pt>
                <c:pt idx="9">
                  <c:v>1.1540657122429099</c:v>
                </c:pt>
                <c:pt idx="10">
                  <c:v>0.80520622167167399</c:v>
                </c:pt>
                <c:pt idx="11">
                  <c:v>0.54329704610996821</c:v>
                </c:pt>
                <c:pt idx="12">
                  <c:v>0.38062512680970884</c:v>
                </c:pt>
                <c:pt idx="13">
                  <c:v>0.26006215516890518</c:v>
                </c:pt>
                <c:pt idx="14">
                  <c:v>0.15390669527897405</c:v>
                </c:pt>
                <c:pt idx="15">
                  <c:v>0.14023521076496484</c:v>
                </c:pt>
                <c:pt idx="16">
                  <c:v>8.7872336043142679E-2</c:v>
                </c:pt>
                <c:pt idx="17">
                  <c:v>9.0257095656046255E-2</c:v>
                </c:pt>
                <c:pt idx="18">
                  <c:v>9.000908252718276E-2</c:v>
                </c:pt>
                <c:pt idx="19">
                  <c:v>7.4937992702212686E-2</c:v>
                </c:pt>
                <c:pt idx="20">
                  <c:v>0.12163646282156644</c:v>
                </c:pt>
                <c:pt idx="21">
                  <c:v>0.139097611765167</c:v>
                </c:pt>
                <c:pt idx="22">
                  <c:v>9.1834034879321361E-2</c:v>
                </c:pt>
                <c:pt idx="23">
                  <c:v>0.1298980443630928</c:v>
                </c:pt>
                <c:pt idx="24">
                  <c:v>0.13284590310838529</c:v>
                </c:pt>
                <c:pt idx="25">
                  <c:v>8.7548744524916677E-2</c:v>
                </c:pt>
                <c:pt idx="26">
                  <c:v>0.10155392660711855</c:v>
                </c:pt>
                <c:pt idx="27">
                  <c:v>0.1019097012416631</c:v>
                </c:pt>
                <c:pt idx="28">
                  <c:v>8.4321460656030342E-2</c:v>
                </c:pt>
                <c:pt idx="29">
                  <c:v>8.3354303022537185E-2</c:v>
                </c:pt>
                <c:pt idx="30">
                  <c:v>9.6226878567452351E-2</c:v>
                </c:pt>
                <c:pt idx="31">
                  <c:v>6.4760547541649921E-2</c:v>
                </c:pt>
                <c:pt idx="32">
                  <c:v>0.12317232725471017</c:v>
                </c:pt>
                <c:pt idx="33">
                  <c:v>8.859119126439291E-2</c:v>
                </c:pt>
                <c:pt idx="34">
                  <c:v>8.7686210247638702E-2</c:v>
                </c:pt>
                <c:pt idx="35">
                  <c:v>7.4014074726763607E-2</c:v>
                </c:pt>
                <c:pt idx="36">
                  <c:v>9.1531811435180924E-2</c:v>
                </c:pt>
                <c:pt idx="37">
                  <c:v>-2.3165361280785778E-3</c:v>
                </c:pt>
                <c:pt idx="38">
                  <c:v>0.11042303546154983</c:v>
                </c:pt>
                <c:pt idx="39">
                  <c:v>0.11228340152416738</c:v>
                </c:pt>
                <c:pt idx="40">
                  <c:v>0.11219708770837973</c:v>
                </c:pt>
                <c:pt idx="41">
                  <c:v>0.11172674274902468</c:v>
                </c:pt>
                <c:pt idx="42">
                  <c:v>0.18006787296441956</c:v>
                </c:pt>
                <c:pt idx="43">
                  <c:v>8.2129959160463062E-2</c:v>
                </c:pt>
                <c:pt idx="44">
                  <c:v>8.1220599418654366E-2</c:v>
                </c:pt>
                <c:pt idx="45">
                  <c:v>8.113649985120544E-2</c:v>
                </c:pt>
                <c:pt idx="46">
                  <c:v>3.6117080130115317E-2</c:v>
                </c:pt>
                <c:pt idx="47">
                  <c:v>-6.9756806444459959E-2</c:v>
                </c:pt>
                <c:pt idx="48">
                  <c:v>0.13372715410586106</c:v>
                </c:pt>
                <c:pt idx="49">
                  <c:v>0.11748679681800081</c:v>
                </c:pt>
                <c:pt idx="50">
                  <c:v>0.13359623052638905</c:v>
                </c:pt>
                <c:pt idx="51">
                  <c:v>0.14696118867662317</c:v>
                </c:pt>
                <c:pt idx="52">
                  <c:v>0.28007508517922042</c:v>
                </c:pt>
                <c:pt idx="53">
                  <c:v>7.8262574494985887E-2</c:v>
                </c:pt>
                <c:pt idx="54">
                  <c:v>9.4656017117936808E-2</c:v>
                </c:pt>
                <c:pt idx="55">
                  <c:v>6.2377127511739384E-2</c:v>
                </c:pt>
                <c:pt idx="56">
                  <c:v>0.11076798111731682</c:v>
                </c:pt>
                <c:pt idx="57">
                  <c:v>8.2055094129354966E-2</c:v>
                </c:pt>
                <c:pt idx="58">
                  <c:v>8.2483871037724893E-2</c:v>
                </c:pt>
                <c:pt idx="59">
                  <c:v>3.5125882819480606E-2</c:v>
                </c:pt>
                <c:pt idx="60">
                  <c:v>8.0106765944152822E-2</c:v>
                </c:pt>
                <c:pt idx="61">
                  <c:v>-9.6293379825887426E-2</c:v>
                </c:pt>
                <c:pt idx="62">
                  <c:v>3.0595372812648347E-2</c:v>
                </c:pt>
                <c:pt idx="63">
                  <c:v>0.10089265114055657</c:v>
                </c:pt>
                <c:pt idx="64">
                  <c:v>0.16871336553710323</c:v>
                </c:pt>
                <c:pt idx="65">
                  <c:v>0.14197233649359833</c:v>
                </c:pt>
                <c:pt idx="66">
                  <c:v>0.30253074566743887</c:v>
                </c:pt>
                <c:pt idx="67">
                  <c:v>0.16023723295804118</c:v>
                </c:pt>
                <c:pt idx="68">
                  <c:v>9.1955966399932712E-2</c:v>
                </c:pt>
                <c:pt idx="69">
                  <c:v>7.3573841566904039E-2</c:v>
                </c:pt>
                <c:pt idx="70">
                  <c:v>3.9337826564357935E-2</c:v>
                </c:pt>
                <c:pt idx="71">
                  <c:v>7.182442284626496E-2</c:v>
                </c:pt>
                <c:pt idx="72">
                  <c:v>9.0317256873079482E-2</c:v>
                </c:pt>
                <c:pt idx="73">
                  <c:v>5.4152033878784353E-2</c:v>
                </c:pt>
                <c:pt idx="74">
                  <c:v>6.9014101253171561E-2</c:v>
                </c:pt>
                <c:pt idx="75">
                  <c:v>8.5010262174550377E-2</c:v>
                </c:pt>
                <c:pt idx="76">
                  <c:v>6.844261929762685E-2</c:v>
                </c:pt>
                <c:pt idx="77">
                  <c:v>6.6344571728718799E-2</c:v>
                </c:pt>
                <c:pt idx="78">
                  <c:v>8.3591898393085812E-2</c:v>
                </c:pt>
                <c:pt idx="79">
                  <c:v>6.7638022405940565E-2</c:v>
                </c:pt>
                <c:pt idx="80">
                  <c:v>6.7638022405940565E-2</c:v>
                </c:pt>
                <c:pt idx="81">
                  <c:v>6.809411172414874E-2</c:v>
                </c:pt>
                <c:pt idx="82">
                  <c:v>3.5078366236906487E-2</c:v>
                </c:pt>
                <c:pt idx="83">
                  <c:v>8.7116527555206699E-2</c:v>
                </c:pt>
                <c:pt idx="84">
                  <c:v>8.738654286169964E-2</c:v>
                </c:pt>
                <c:pt idx="85">
                  <c:v>0.10439045376120659</c:v>
                </c:pt>
                <c:pt idx="86">
                  <c:v>8.7045529498767454E-2</c:v>
                </c:pt>
                <c:pt idx="87">
                  <c:v>0.120202247106028</c:v>
                </c:pt>
                <c:pt idx="88">
                  <c:v>2.2750825115611495E-2</c:v>
                </c:pt>
                <c:pt idx="89">
                  <c:v>7.4016562048414516E-2</c:v>
                </c:pt>
                <c:pt idx="90">
                  <c:v>9.117440706316135E-2</c:v>
                </c:pt>
                <c:pt idx="91">
                  <c:v>9.1770758631971636E-2</c:v>
                </c:pt>
                <c:pt idx="92">
                  <c:v>3.1487278581206687E-2</c:v>
                </c:pt>
                <c:pt idx="93">
                  <c:v>0.15797723781015738</c:v>
                </c:pt>
                <c:pt idx="94">
                  <c:v>0.12248171010844273</c:v>
                </c:pt>
                <c:pt idx="95">
                  <c:v>7.0663028264993183E-2</c:v>
                </c:pt>
                <c:pt idx="96">
                  <c:v>8.8203788674459785E-2</c:v>
                </c:pt>
                <c:pt idx="97">
                  <c:v>0.14950923115511305</c:v>
                </c:pt>
                <c:pt idx="98">
                  <c:v>8.5901307163742821E-2</c:v>
                </c:pt>
                <c:pt idx="99">
                  <c:v>5.2478847270694906E-2</c:v>
                </c:pt>
                <c:pt idx="100">
                  <c:v>8.7285490229559601E-2</c:v>
                </c:pt>
                <c:pt idx="101">
                  <c:v>8.7375086238989708E-2</c:v>
                </c:pt>
                <c:pt idx="102">
                  <c:v>6.9817365231176626E-2</c:v>
                </c:pt>
                <c:pt idx="103">
                  <c:v>3.5665240649029227E-2</c:v>
                </c:pt>
                <c:pt idx="104">
                  <c:v>5.1499299710069703E-2</c:v>
                </c:pt>
                <c:pt idx="105">
                  <c:v>6.1554914925520829E-2</c:v>
                </c:pt>
                <c:pt idx="106">
                  <c:v>4.1911769686459245E-2</c:v>
                </c:pt>
                <c:pt idx="107">
                  <c:v>4.1911769686459245E-2</c:v>
                </c:pt>
                <c:pt idx="108">
                  <c:v>7.474107917678402E-2</c:v>
                </c:pt>
                <c:pt idx="109">
                  <c:v>9.0166788793455757E-2</c:v>
                </c:pt>
                <c:pt idx="110">
                  <c:v>9.5092551415393092E-2</c:v>
                </c:pt>
                <c:pt idx="111">
                  <c:v>7.953682301841114E-2</c:v>
                </c:pt>
                <c:pt idx="112">
                  <c:v>9.4554092878750551E-2</c:v>
                </c:pt>
                <c:pt idx="113">
                  <c:v>5.0256961612582848E-2</c:v>
                </c:pt>
                <c:pt idx="114">
                  <c:v>7.6609176227395617E-2</c:v>
                </c:pt>
                <c:pt idx="115">
                  <c:v>5.9884028055762394E-2</c:v>
                </c:pt>
                <c:pt idx="116">
                  <c:v>7.5411978366321547E-2</c:v>
                </c:pt>
                <c:pt idx="117">
                  <c:v>7.6500361590214533E-2</c:v>
                </c:pt>
                <c:pt idx="118">
                  <c:v>0.12078316751727869</c:v>
                </c:pt>
                <c:pt idx="119">
                  <c:v>7.7176786465650085E-2</c:v>
                </c:pt>
                <c:pt idx="120">
                  <c:v>7.6756603294877462E-2</c:v>
                </c:pt>
                <c:pt idx="121">
                  <c:v>4.6389656100507735E-2</c:v>
                </c:pt>
                <c:pt idx="122">
                  <c:v>9.1888808191079543E-2</c:v>
                </c:pt>
                <c:pt idx="123">
                  <c:v>7.5757174056541601E-2</c:v>
                </c:pt>
                <c:pt idx="124">
                  <c:v>7.7388788391094823E-2</c:v>
                </c:pt>
                <c:pt idx="125">
                  <c:v>7.7953915154912137E-2</c:v>
                </c:pt>
                <c:pt idx="126">
                  <c:v>0.1254007216091147</c:v>
                </c:pt>
                <c:pt idx="127">
                  <c:v>6.3795916434310471E-2</c:v>
                </c:pt>
                <c:pt idx="128">
                  <c:v>-3.8827391884590647E-2</c:v>
                </c:pt>
                <c:pt idx="129">
                  <c:v>0.12914413799297303</c:v>
                </c:pt>
                <c:pt idx="130">
                  <c:v>0.11359324770450416</c:v>
                </c:pt>
                <c:pt idx="131">
                  <c:v>0.11059751986345767</c:v>
                </c:pt>
                <c:pt idx="132">
                  <c:v>0.1250661590879385</c:v>
                </c:pt>
                <c:pt idx="133">
                  <c:v>0.24201919442554004</c:v>
                </c:pt>
                <c:pt idx="134">
                  <c:v>7.5007958345970488E-2</c:v>
                </c:pt>
                <c:pt idx="135">
                  <c:v>9.1432365014279718E-2</c:v>
                </c:pt>
                <c:pt idx="136">
                  <c:v>7.7634310326920544E-2</c:v>
                </c:pt>
                <c:pt idx="137">
                  <c:v>6.3165671102439702E-2</c:v>
                </c:pt>
                <c:pt idx="138">
                  <c:v>8.0987700373426535E-2</c:v>
                </c:pt>
                <c:pt idx="139">
                  <c:v>6.4390189999982805E-2</c:v>
                </c:pt>
                <c:pt idx="140">
                  <c:v>6.3162196978052948E-2</c:v>
                </c:pt>
                <c:pt idx="141">
                  <c:v>-1.8096856241944202E-2</c:v>
                </c:pt>
                <c:pt idx="142">
                  <c:v>-0.29458818132661779</c:v>
                </c:pt>
                <c:pt idx="143">
                  <c:v>-0.67300577534354533</c:v>
                </c:pt>
                <c:pt idx="144">
                  <c:v>-1.1768225692366698</c:v>
                </c:pt>
                <c:pt idx="145">
                  <c:v>-1.7377428466080045</c:v>
                </c:pt>
                <c:pt idx="146">
                  <c:v>-2.2181010362435356</c:v>
                </c:pt>
                <c:pt idx="147">
                  <c:v>-2.4548323214660832</c:v>
                </c:pt>
                <c:pt idx="148">
                  <c:v>-2.6248065353628518</c:v>
                </c:pt>
                <c:pt idx="149">
                  <c:v>-2.6178312490288098</c:v>
                </c:pt>
                <c:pt idx="150">
                  <c:v>-2.5552345355856851</c:v>
                </c:pt>
                <c:pt idx="151">
                  <c:v>-2.30138182720993</c:v>
                </c:pt>
                <c:pt idx="152">
                  <c:v>-1.8431609357064223</c:v>
                </c:pt>
                <c:pt idx="153">
                  <c:v>-1.2710120155381399</c:v>
                </c:pt>
                <c:pt idx="154">
                  <c:v>-0.72279954541564628</c:v>
                </c:pt>
                <c:pt idx="155">
                  <c:v>-0.22461555556444157</c:v>
                </c:pt>
                <c:pt idx="156">
                  <c:v>3.4244283441843645E-2</c:v>
                </c:pt>
                <c:pt idx="157">
                  <c:v>2.9127267744917286E-2</c:v>
                </c:pt>
                <c:pt idx="158">
                  <c:v>-8.7022564654777479E-2</c:v>
                </c:pt>
                <c:pt idx="159">
                  <c:v>-0.20430441569696578</c:v>
                </c:pt>
                <c:pt idx="160">
                  <c:v>-0.27695664763494943</c:v>
                </c:pt>
                <c:pt idx="161">
                  <c:v>-0.28871238027976115</c:v>
                </c:pt>
                <c:pt idx="162">
                  <c:v>-0.2892916730932355</c:v>
                </c:pt>
                <c:pt idx="163">
                  <c:v>-0.27049289738534771</c:v>
                </c:pt>
                <c:pt idx="164">
                  <c:v>-0.25440141356468449</c:v>
                </c:pt>
                <c:pt idx="165">
                  <c:v>-0.21055645089700342</c:v>
                </c:pt>
                <c:pt idx="166">
                  <c:v>-0.16571004982068949</c:v>
                </c:pt>
                <c:pt idx="167">
                  <c:v>-8.9415048319569118E-2</c:v>
                </c:pt>
                <c:pt idx="168">
                  <c:v>9.3830331460038711E-3</c:v>
                </c:pt>
                <c:pt idx="169">
                  <c:v>0.10718324548104705</c:v>
                </c:pt>
                <c:pt idx="170">
                  <c:v>0.17905209145513221</c:v>
                </c:pt>
                <c:pt idx="171">
                  <c:v>0.22764689181149325</c:v>
                </c:pt>
                <c:pt idx="172">
                  <c:v>0.27476550244731512</c:v>
                </c:pt>
                <c:pt idx="173">
                  <c:v>0.26046665972131072</c:v>
                </c:pt>
                <c:pt idx="174">
                  <c:v>0.24135004601176502</c:v>
                </c:pt>
                <c:pt idx="175">
                  <c:v>0.23108615199096075</c:v>
                </c:pt>
                <c:pt idx="176">
                  <c:v>0.21534825979954145</c:v>
                </c:pt>
                <c:pt idx="177">
                  <c:v>0.16928269162672929</c:v>
                </c:pt>
                <c:pt idx="178">
                  <c:v>0.12622564103469466</c:v>
                </c:pt>
                <c:pt idx="179">
                  <c:v>8.0728047200378628E-2</c:v>
                </c:pt>
                <c:pt idx="180">
                  <c:v>1.6202690572765129E-2</c:v>
                </c:pt>
                <c:pt idx="181">
                  <c:v>-4.9879568534945351E-2</c:v>
                </c:pt>
                <c:pt idx="182">
                  <c:v>-0.11618612743440342</c:v>
                </c:pt>
                <c:pt idx="183">
                  <c:v>-0.16129890938929156</c:v>
                </c:pt>
                <c:pt idx="184">
                  <c:v>-0.19436729878677167</c:v>
                </c:pt>
                <c:pt idx="185">
                  <c:v>-0.21925058865834285</c:v>
                </c:pt>
                <c:pt idx="186">
                  <c:v>-0.21483537888526585</c:v>
                </c:pt>
                <c:pt idx="187">
                  <c:v>-0.19763583111813557</c:v>
                </c:pt>
                <c:pt idx="188">
                  <c:v>-0.18658106131060473</c:v>
                </c:pt>
                <c:pt idx="189">
                  <c:v>-0.15064863521314514</c:v>
                </c:pt>
                <c:pt idx="190">
                  <c:v>-0.12641052828233093</c:v>
                </c:pt>
                <c:pt idx="191">
                  <c:v>-9.7600387112639228E-2</c:v>
                </c:pt>
                <c:pt idx="192">
                  <c:v>-4.982593839122329E-2</c:v>
                </c:pt>
                <c:pt idx="193">
                  <c:v>1.6764697439227067E-3</c:v>
                </c:pt>
                <c:pt idx="194">
                  <c:v>4.6307649128761084E-2</c:v>
                </c:pt>
                <c:pt idx="195">
                  <c:v>0.11612629157603591</c:v>
                </c:pt>
                <c:pt idx="196">
                  <c:v>0.16424562752919955</c:v>
                </c:pt>
                <c:pt idx="197">
                  <c:v>0.18303749366188504</c:v>
                </c:pt>
                <c:pt idx="198">
                  <c:v>0.2004514854736609</c:v>
                </c:pt>
                <c:pt idx="199">
                  <c:v>0.20435413996670979</c:v>
                </c:pt>
                <c:pt idx="200">
                  <c:v>0.16889890658451515</c:v>
                </c:pt>
                <c:pt idx="201">
                  <c:v>0.1370781608033014</c:v>
                </c:pt>
                <c:pt idx="202">
                  <c:v>0.11894200551417218</c:v>
                </c:pt>
                <c:pt idx="203">
                  <c:v>0.10103564348168648</c:v>
                </c:pt>
                <c:pt idx="204">
                  <c:v>4.9188835907069801E-2</c:v>
                </c:pt>
                <c:pt idx="205">
                  <c:v>3.2141444158007362E-2</c:v>
                </c:pt>
                <c:pt idx="206">
                  <c:v>-1.2482415531669178E-3</c:v>
                </c:pt>
                <c:pt idx="207">
                  <c:v>-5.2346099294767877E-2</c:v>
                </c:pt>
                <c:pt idx="208">
                  <c:v>-0.10085133165646656</c:v>
                </c:pt>
                <c:pt idx="209">
                  <c:v>-0.11709122071747576</c:v>
                </c:pt>
                <c:pt idx="210">
                  <c:v>-0.14717545657788428</c:v>
                </c:pt>
                <c:pt idx="211">
                  <c:v>-0.14529464318939392</c:v>
                </c:pt>
                <c:pt idx="212">
                  <c:v>-0.12423168152954045</c:v>
                </c:pt>
                <c:pt idx="213">
                  <c:v>-0.10781737433693381</c:v>
                </c:pt>
                <c:pt idx="214">
                  <c:v>-7.449514841224178E-2</c:v>
                </c:pt>
                <c:pt idx="215">
                  <c:v>-2.8367273854576575E-2</c:v>
                </c:pt>
                <c:pt idx="216">
                  <c:v>-1.3156991703842552E-2</c:v>
                </c:pt>
                <c:pt idx="217">
                  <c:v>1.595817900621737E-2</c:v>
                </c:pt>
                <c:pt idx="218">
                  <c:v>3.1097078408230568E-2</c:v>
                </c:pt>
                <c:pt idx="219">
                  <c:v>4.6240562924017785E-2</c:v>
                </c:pt>
                <c:pt idx="220">
                  <c:v>4.5224349277478447E-2</c:v>
                </c:pt>
                <c:pt idx="221">
                  <c:v>5.9141265288890667E-2</c:v>
                </c:pt>
                <c:pt idx="222">
                  <c:v>4.4087825577916774E-2</c:v>
                </c:pt>
                <c:pt idx="223">
                  <c:v>4.4087825577916774E-2</c:v>
                </c:pt>
                <c:pt idx="224">
                  <c:v>2.8944341062129557E-2</c:v>
                </c:pt>
                <c:pt idx="225">
                  <c:v>1.391691601141222E-2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0-4E60-9232-48ED3006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279087"/>
        <c:axId val="976282927"/>
      </c:lineChart>
      <c:catAx>
        <c:axId val="9762790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(ms)</a:t>
                </a:r>
              </a:p>
            </c:rich>
          </c:tx>
          <c:layout>
            <c:manualLayout>
              <c:xMode val="edge"/>
              <c:yMode val="edge"/>
              <c:x val="0.47969556650947093"/>
              <c:y val="0.95251808399943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82927"/>
        <c:crosses val="autoZero"/>
        <c:auto val="1"/>
        <c:lblAlgn val="ctr"/>
        <c:lblOffset val="0"/>
        <c:noMultiLvlLbl val="0"/>
      </c:catAx>
      <c:valAx>
        <c:axId val="976282927"/>
        <c:scaling>
          <c:orientation val="minMax"/>
          <c:max val="2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7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49848850194539"/>
          <c:y val="0.83874564932251061"/>
          <c:w val="0.84178293819041849"/>
          <c:h val="3.4865946508752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- Kp=0.005</a:t>
            </a:r>
            <a:r>
              <a:rPr lang="en-US" baseline="0"/>
              <a:t> Ki=0.001 Kd=0.2 timeToBrake=50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31112037046923E-2"/>
          <c:y val="6.515672782874618E-2"/>
          <c:w val="0.92872715876594125"/>
          <c:h val="0.82107202196055773"/>
        </c:manualLayout>
      </c:layout>
      <c:barChart>
        <c:barDir val="col"/>
        <c:grouping val="clustered"/>
        <c:varyColors val="0"/>
        <c:ser>
          <c:idx val="5"/>
          <c:order val="6"/>
          <c:tx>
            <c:strRef>
              <c:f>Data!$AV$1</c:f>
              <c:strCache>
                <c:ptCount val="1"/>
                <c:pt idx="0">
                  <c:v>Accel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Data!$AV$130:$AV$200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6-4EE4-8614-46B83DB8F3AD}"/>
            </c:ext>
          </c:extLst>
        </c:ser>
        <c:ser>
          <c:idx val="6"/>
          <c:order val="7"/>
          <c:tx>
            <c:strRef>
              <c:f>Data!$AW$1</c:f>
              <c:strCache>
                <c:ptCount val="1"/>
                <c:pt idx="0">
                  <c:v>Cruising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Data!$AW$130:$AW$200</c:f>
              <c:numCache>
                <c:formatCode>General</c:formatCode>
                <c:ptCount val="7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6-4EE4-8614-46B83DB8F3AD}"/>
            </c:ext>
          </c:extLst>
        </c:ser>
        <c:ser>
          <c:idx val="7"/>
          <c:order val="8"/>
          <c:tx>
            <c:strRef>
              <c:f>Data!$AX$1</c:f>
              <c:strCache>
                <c:ptCount val="1"/>
                <c:pt idx="0">
                  <c:v>Decel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Data!$AX$130:$AX$200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6-4EE4-8614-46B83DB8F3AD}"/>
            </c:ext>
          </c:extLst>
        </c:ser>
        <c:ser>
          <c:idx val="8"/>
          <c:order val="9"/>
          <c:tx>
            <c:strRef>
              <c:f>Data!$AY$1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Data!$AY$130:$AY$200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A6-4EE4-8614-46B83DB8F3AD}"/>
            </c:ext>
          </c:extLst>
        </c:ser>
        <c:ser>
          <c:idx val="9"/>
          <c:order val="10"/>
          <c:tx>
            <c:strRef>
              <c:f>Data!$AZ$1</c:f>
              <c:strCache>
                <c:ptCount val="1"/>
                <c:pt idx="0">
                  <c:v>At Target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Data!$AZ$130:$AZ$200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</c:v>
                </c:pt>
                <c:pt idx="44">
                  <c:v>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A6-4EE4-8614-46B83DB8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6279087"/>
        <c:axId val="976282927"/>
      </c:barChart>
      <c:lineChart>
        <c:grouping val="standard"/>
        <c:varyColors val="0"/>
        <c:ser>
          <c:idx val="1"/>
          <c:order val="0"/>
          <c:tx>
            <c:strRef>
              <c:f>Data!$AD$1</c:f>
              <c:strCache>
                <c:ptCount val="1"/>
                <c:pt idx="0">
                  <c:v>powerP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Data!$AD$130:$AD$200</c:f>
              <c:numCache>
                <c:formatCode>General</c:formatCode>
                <c:ptCount val="7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0.87</c:v>
                </c:pt>
                <c:pt idx="20">
                  <c:v>0.69</c:v>
                </c:pt>
                <c:pt idx="21">
                  <c:v>0.51</c:v>
                </c:pt>
                <c:pt idx="22">
                  <c:v>0.33500000000000002</c:v>
                </c:pt>
                <c:pt idx="23">
                  <c:v>0.17</c:v>
                </c:pt>
                <c:pt idx="24">
                  <c:v>6.5000000000000002E-2</c:v>
                </c:pt>
                <c:pt idx="25">
                  <c:v>4.4999999999999998E-2</c:v>
                </c:pt>
                <c:pt idx="26">
                  <c:v>6.5000000000000002E-2</c:v>
                </c:pt>
                <c:pt idx="27">
                  <c:v>8.5000000000000006E-2</c:v>
                </c:pt>
                <c:pt idx="28">
                  <c:v>0.09</c:v>
                </c:pt>
                <c:pt idx="29">
                  <c:v>7.4999999999999997E-2</c:v>
                </c:pt>
                <c:pt idx="30">
                  <c:v>5.5E-2</c:v>
                </c:pt>
                <c:pt idx="31">
                  <c:v>3.5000000000000003E-2</c:v>
                </c:pt>
                <c:pt idx="32">
                  <c:v>0.01</c:v>
                </c:pt>
                <c:pt idx="33">
                  <c:v>-0.01</c:v>
                </c:pt>
                <c:pt idx="34">
                  <c:v>-2.5000000000000001E-2</c:v>
                </c:pt>
                <c:pt idx="35">
                  <c:v>-4.4999999999999998E-2</c:v>
                </c:pt>
                <c:pt idx="36">
                  <c:v>-0.06</c:v>
                </c:pt>
                <c:pt idx="37">
                  <c:v>-0.08</c:v>
                </c:pt>
                <c:pt idx="38">
                  <c:v>-8.5000000000000006E-2</c:v>
                </c:pt>
                <c:pt idx="39">
                  <c:v>-8.5000000000000006E-2</c:v>
                </c:pt>
                <c:pt idx="40">
                  <c:v>-0.08</c:v>
                </c:pt>
                <c:pt idx="41">
                  <c:v>-0.06</c:v>
                </c:pt>
                <c:pt idx="42">
                  <c:v>-4.4999999999999998E-2</c:v>
                </c:pt>
                <c:pt idx="43">
                  <c:v>-2.5000000000000001E-2</c:v>
                </c:pt>
                <c:pt idx="44">
                  <c:v>-0.01</c:v>
                </c:pt>
                <c:pt idx="45">
                  <c:v>0.01</c:v>
                </c:pt>
                <c:pt idx="46">
                  <c:v>2.5000000000000001E-2</c:v>
                </c:pt>
                <c:pt idx="47">
                  <c:v>3.5000000000000003E-2</c:v>
                </c:pt>
                <c:pt idx="48">
                  <c:v>0.05</c:v>
                </c:pt>
                <c:pt idx="49">
                  <c:v>0.06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0.06</c:v>
                </c:pt>
                <c:pt idx="53">
                  <c:v>5.5E-2</c:v>
                </c:pt>
                <c:pt idx="54">
                  <c:v>4.4999999999999998E-2</c:v>
                </c:pt>
                <c:pt idx="55">
                  <c:v>0.03</c:v>
                </c:pt>
                <c:pt idx="56">
                  <c:v>1.4999999999999999E-2</c:v>
                </c:pt>
                <c:pt idx="57">
                  <c:v>0</c:v>
                </c:pt>
                <c:pt idx="58">
                  <c:v>-1.4999999999999999E-2</c:v>
                </c:pt>
                <c:pt idx="59">
                  <c:v>-2.5000000000000001E-2</c:v>
                </c:pt>
                <c:pt idx="60">
                  <c:v>-3.5000000000000003E-2</c:v>
                </c:pt>
                <c:pt idx="61">
                  <c:v>-0.05</c:v>
                </c:pt>
                <c:pt idx="62">
                  <c:v>-5.5E-2</c:v>
                </c:pt>
                <c:pt idx="63">
                  <c:v>-0.06</c:v>
                </c:pt>
                <c:pt idx="64">
                  <c:v>-0.06</c:v>
                </c:pt>
                <c:pt idx="65">
                  <c:v>-5.5E-2</c:v>
                </c:pt>
                <c:pt idx="66">
                  <c:v>-0.05</c:v>
                </c:pt>
                <c:pt idx="67">
                  <c:v>-0.04</c:v>
                </c:pt>
                <c:pt idx="68">
                  <c:v>-2.5000000000000001E-2</c:v>
                </c:pt>
                <c:pt idx="69">
                  <c:v>-0.01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A6-4EE4-8614-46B83DB8F3AD}"/>
            </c:ext>
          </c:extLst>
        </c:ser>
        <c:ser>
          <c:idx val="13"/>
          <c:order val="1"/>
          <c:tx>
            <c:strRef>
              <c:f>Data!$AE$1</c:f>
              <c:strCache>
                <c:ptCount val="1"/>
                <c:pt idx="0">
                  <c:v>powerI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Data!$AE$130:$AE$200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7.9000000000000001E-2</c:v>
                </c:pt>
                <c:pt idx="26">
                  <c:v>7.9000000000000001E-2</c:v>
                </c:pt>
                <c:pt idx="27">
                  <c:v>7.9000000000000001E-2</c:v>
                </c:pt>
                <c:pt idx="28">
                  <c:v>7.9000000000000001E-2</c:v>
                </c:pt>
                <c:pt idx="29">
                  <c:v>7.9000000000000001E-2</c:v>
                </c:pt>
                <c:pt idx="30">
                  <c:v>7.9000000000000001E-2</c:v>
                </c:pt>
                <c:pt idx="31">
                  <c:v>7.5999999999999998E-2</c:v>
                </c:pt>
                <c:pt idx="32">
                  <c:v>6.8000000000000005E-2</c:v>
                </c:pt>
                <c:pt idx="33">
                  <c:v>5.7000000000000002E-2</c:v>
                </c:pt>
                <c:pt idx="34">
                  <c:v>4.2000000000000003E-2</c:v>
                </c:pt>
                <c:pt idx="35">
                  <c:v>2.3E-2</c:v>
                </c:pt>
                <c:pt idx="36">
                  <c:v>3.0000000000000001E-3</c:v>
                </c:pt>
                <c:pt idx="37">
                  <c:v>-1.7000000000000001E-2</c:v>
                </c:pt>
                <c:pt idx="38">
                  <c:v>-3.6999999999999998E-2</c:v>
                </c:pt>
                <c:pt idx="39">
                  <c:v>-5.3999999999999999E-2</c:v>
                </c:pt>
                <c:pt idx="40">
                  <c:v>-6.6000000000000003E-2</c:v>
                </c:pt>
                <c:pt idx="41">
                  <c:v>-7.3999999999999996E-2</c:v>
                </c:pt>
                <c:pt idx="42">
                  <c:v>-7.8E-2</c:v>
                </c:pt>
                <c:pt idx="43">
                  <c:v>-7.3999999999999996E-2</c:v>
                </c:pt>
                <c:pt idx="44">
                  <c:v>-6.6000000000000003E-2</c:v>
                </c:pt>
                <c:pt idx="45">
                  <c:v>-5.3999999999999999E-2</c:v>
                </c:pt>
                <c:pt idx="46">
                  <c:v>-3.9E-2</c:v>
                </c:pt>
                <c:pt idx="47">
                  <c:v>-2.1999999999999999E-2</c:v>
                </c:pt>
                <c:pt idx="48">
                  <c:v>-2E-3</c:v>
                </c:pt>
                <c:pt idx="49">
                  <c:v>1.7999999999999999E-2</c:v>
                </c:pt>
                <c:pt idx="50">
                  <c:v>3.6999999999999998E-2</c:v>
                </c:pt>
                <c:pt idx="51">
                  <c:v>5.1999999999999998E-2</c:v>
                </c:pt>
                <c:pt idx="52">
                  <c:v>6.4000000000000001E-2</c:v>
                </c:pt>
                <c:pt idx="53">
                  <c:v>7.1999999999999995E-2</c:v>
                </c:pt>
                <c:pt idx="54">
                  <c:v>7.5999999999999998E-2</c:v>
                </c:pt>
                <c:pt idx="55">
                  <c:v>7.4999999999999997E-2</c:v>
                </c:pt>
                <c:pt idx="56">
                  <c:v>6.8000000000000005E-2</c:v>
                </c:pt>
                <c:pt idx="57">
                  <c:v>5.8000000000000003E-2</c:v>
                </c:pt>
                <c:pt idx="58">
                  <c:v>4.4999999999999998E-2</c:v>
                </c:pt>
                <c:pt idx="59">
                  <c:v>0.03</c:v>
                </c:pt>
                <c:pt idx="60">
                  <c:v>1.2999999999999999E-2</c:v>
                </c:pt>
                <c:pt idx="61">
                  <c:v>-7.0000000000000001E-3</c:v>
                </c:pt>
                <c:pt idx="62">
                  <c:v>-2.5999999999999999E-2</c:v>
                </c:pt>
                <c:pt idx="63">
                  <c:v>-4.2000000000000003E-2</c:v>
                </c:pt>
                <c:pt idx="64">
                  <c:v>-5.5E-2</c:v>
                </c:pt>
                <c:pt idx="65">
                  <c:v>-6.5000000000000002E-2</c:v>
                </c:pt>
                <c:pt idx="66">
                  <c:v>-7.1999999999999995E-2</c:v>
                </c:pt>
                <c:pt idx="67">
                  <c:v>-7.4999999999999997E-2</c:v>
                </c:pt>
                <c:pt idx="68">
                  <c:v>-7.2999999999999995E-2</c:v>
                </c:pt>
                <c:pt idx="69">
                  <c:v>-6.5000000000000002E-2</c:v>
                </c:pt>
                <c:pt idx="70">
                  <c:v>-5.5E-2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A6-4EE4-8614-46B83DB8F3AD}"/>
            </c:ext>
          </c:extLst>
        </c:ser>
        <c:ser>
          <c:idx val="2"/>
          <c:order val="2"/>
          <c:tx>
            <c:strRef>
              <c:f>Data!$AF$1</c:f>
              <c:strCache>
                <c:ptCount val="1"/>
                <c:pt idx="0">
                  <c:v>powerD</c:v>
                </c:pt>
              </c:strCache>
            </c:strRef>
          </c:tx>
          <c:spPr>
            <a:ln w="38100" cap="rnd">
              <a:solidFill>
                <a:srgbClr val="8641EB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Data!$AF$130:$AF$200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-2.7779999999999999E-2</c:v>
                </c:pt>
                <c:pt idx="13">
                  <c:v>-4.4549999999999999E-2</c:v>
                </c:pt>
                <c:pt idx="14">
                  <c:v>-0.14602000000000001</c:v>
                </c:pt>
                <c:pt idx="15">
                  <c:v>-0.27815000000000001</c:v>
                </c:pt>
                <c:pt idx="16">
                  <c:v>-0.40950999999999999</c:v>
                </c:pt>
                <c:pt idx="17">
                  <c:v>-0.47955999999999999</c:v>
                </c:pt>
                <c:pt idx="18">
                  <c:v>-0.49654999999999999</c:v>
                </c:pt>
                <c:pt idx="19">
                  <c:v>-0.48499999999999999</c:v>
                </c:pt>
                <c:pt idx="20">
                  <c:v>-0.46890999999999999</c:v>
                </c:pt>
                <c:pt idx="21">
                  <c:v>-0.46809000000000001</c:v>
                </c:pt>
                <c:pt idx="22">
                  <c:v>-0.46276</c:v>
                </c:pt>
                <c:pt idx="23">
                  <c:v>-0.44035999999999997</c:v>
                </c:pt>
                <c:pt idx="24">
                  <c:v>-0.34131</c:v>
                </c:pt>
                <c:pt idx="25">
                  <c:v>-0.14788999999999999</c:v>
                </c:pt>
                <c:pt idx="26">
                  <c:v>-9.3999999999999997E-4</c:v>
                </c:pt>
                <c:pt idx="27">
                  <c:v>-4.9349999999999998E-2</c:v>
                </c:pt>
                <c:pt idx="28">
                  <c:v>-2.8549999999999999E-2</c:v>
                </c:pt>
                <c:pt idx="29">
                  <c:v>-1.227E-2</c:v>
                </c:pt>
                <c:pt idx="30">
                  <c:v>-4.5990000000000003E-2</c:v>
                </c:pt>
                <c:pt idx="31">
                  <c:v>-5.2049999999999999E-2</c:v>
                </c:pt>
                <c:pt idx="32">
                  <c:v>-5.6739999999999999E-2</c:v>
                </c:pt>
                <c:pt idx="33">
                  <c:v>5.9229999999999998E-2</c:v>
                </c:pt>
                <c:pt idx="34">
                  <c:v>4.6690000000000002E-2</c:v>
                </c:pt>
                <c:pt idx="35">
                  <c:v>4.6730000000000001E-2</c:v>
                </c:pt>
                <c:pt idx="36">
                  <c:v>4.2340000000000003E-2</c:v>
                </c:pt>
                <c:pt idx="37">
                  <c:v>4.2689999999999999E-2</c:v>
                </c:pt>
                <c:pt idx="38">
                  <c:v>3.3180000000000001E-2</c:v>
                </c:pt>
                <c:pt idx="39">
                  <c:v>6.5100000000000002E-3</c:v>
                </c:pt>
                <c:pt idx="40">
                  <c:v>6.5100000000000002E-3</c:v>
                </c:pt>
                <c:pt idx="41">
                  <c:v>3.4869999999999998E-2</c:v>
                </c:pt>
                <c:pt idx="42">
                  <c:v>4.8129999999999999E-2</c:v>
                </c:pt>
                <c:pt idx="43">
                  <c:v>4.9110000000000001E-2</c:v>
                </c:pt>
                <c:pt idx="44">
                  <c:v>5.0729999999999997E-2</c:v>
                </c:pt>
                <c:pt idx="45">
                  <c:v>-4.8399999999999999E-2</c:v>
                </c:pt>
                <c:pt idx="46">
                  <c:v>-4.5769999999999998E-2</c:v>
                </c:pt>
                <c:pt idx="47">
                  <c:v>-3.295E-2</c:v>
                </c:pt>
                <c:pt idx="48">
                  <c:v>-3.5959999999999999E-2</c:v>
                </c:pt>
                <c:pt idx="49">
                  <c:v>-3.6880000000000003E-2</c:v>
                </c:pt>
                <c:pt idx="50">
                  <c:v>-2.256E-2</c:v>
                </c:pt>
                <c:pt idx="51">
                  <c:v>-7.4400000000000004E-3</c:v>
                </c:pt>
                <c:pt idx="52">
                  <c:v>-7.4900000000000001E-3</c:v>
                </c:pt>
                <c:pt idx="53">
                  <c:v>-1.4970000000000001E-2</c:v>
                </c:pt>
                <c:pt idx="54">
                  <c:v>-2.2429999999999999E-2</c:v>
                </c:pt>
                <c:pt idx="55">
                  <c:v>-3.739E-2</c:v>
                </c:pt>
                <c:pt idx="56">
                  <c:v>-4.2729999999999997E-2</c:v>
                </c:pt>
                <c:pt idx="57">
                  <c:v>-4.215E-2</c:v>
                </c:pt>
                <c:pt idx="58">
                  <c:v>4.0070000000000001E-2</c:v>
                </c:pt>
                <c:pt idx="59">
                  <c:v>3.1530000000000002E-2</c:v>
                </c:pt>
                <c:pt idx="60">
                  <c:v>2.5909999999999999E-2</c:v>
                </c:pt>
                <c:pt idx="61">
                  <c:v>2.835E-2</c:v>
                </c:pt>
                <c:pt idx="62">
                  <c:v>2.2839999999999999E-2</c:v>
                </c:pt>
                <c:pt idx="63">
                  <c:v>1.472E-2</c:v>
                </c:pt>
                <c:pt idx="64">
                  <c:v>7.6400000000000001E-3</c:v>
                </c:pt>
                <c:pt idx="65">
                  <c:v>6.8300000000000001E-3</c:v>
                </c:pt>
                <c:pt idx="66">
                  <c:v>1.4500000000000001E-2</c:v>
                </c:pt>
                <c:pt idx="67">
                  <c:v>2.1919999999999999E-2</c:v>
                </c:pt>
                <c:pt idx="68">
                  <c:v>3.6409999999999998E-2</c:v>
                </c:pt>
                <c:pt idx="69">
                  <c:v>4.4560000000000002E-2</c:v>
                </c:pt>
                <c:pt idx="70">
                  <c:v>3.805E-2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A6-4EE4-8614-46B83DB8F3AD}"/>
            </c:ext>
          </c:extLst>
        </c:ser>
        <c:ser>
          <c:idx val="14"/>
          <c:order val="3"/>
          <c:tx>
            <c:strRef>
              <c:f>Data!$AG$1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Data!$AG$130:$AG$200</c:f>
              <c:numCache>
                <c:formatCode>General</c:formatCode>
                <c:ptCount val="7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0.93398000000000003</c:v>
                </c:pt>
                <c:pt idx="15">
                  <c:v>0.80184999999999995</c:v>
                </c:pt>
                <c:pt idx="16">
                  <c:v>0.67049000000000003</c:v>
                </c:pt>
                <c:pt idx="17">
                  <c:v>0.60043999999999997</c:v>
                </c:pt>
                <c:pt idx="18">
                  <c:v>0.58345000000000002</c:v>
                </c:pt>
                <c:pt idx="19">
                  <c:v>0.46500000000000002</c:v>
                </c:pt>
                <c:pt idx="20">
                  <c:v>0.30109000000000002</c:v>
                </c:pt>
                <c:pt idx="21">
                  <c:v>0.12191</c:v>
                </c:pt>
                <c:pt idx="22">
                  <c:v>-4.7759999999999997E-2</c:v>
                </c:pt>
                <c:pt idx="23">
                  <c:v>-0.19036</c:v>
                </c:pt>
                <c:pt idx="24">
                  <c:v>-0.19631000000000001</c:v>
                </c:pt>
                <c:pt idx="25">
                  <c:v>-2.3890000000000002E-2</c:v>
                </c:pt>
                <c:pt idx="26">
                  <c:v>0.14305999999999999</c:v>
                </c:pt>
                <c:pt idx="27">
                  <c:v>0.11465</c:v>
                </c:pt>
                <c:pt idx="28">
                  <c:v>0.14044999999999999</c:v>
                </c:pt>
                <c:pt idx="29">
                  <c:v>0.14172999999999999</c:v>
                </c:pt>
                <c:pt idx="30">
                  <c:v>8.8010000000000005E-2</c:v>
                </c:pt>
                <c:pt idx="31">
                  <c:v>5.8950000000000002E-2</c:v>
                </c:pt>
                <c:pt idx="32">
                  <c:v>2.1260000000000001E-2</c:v>
                </c:pt>
                <c:pt idx="33">
                  <c:v>0.10623</c:v>
                </c:pt>
                <c:pt idx="34">
                  <c:v>6.3689999999999997E-2</c:v>
                </c:pt>
                <c:pt idx="35">
                  <c:v>2.4729999999999999E-2</c:v>
                </c:pt>
                <c:pt idx="36">
                  <c:v>-1.4659999999999999E-2</c:v>
                </c:pt>
                <c:pt idx="37">
                  <c:v>-5.4309999999999997E-2</c:v>
                </c:pt>
                <c:pt idx="38">
                  <c:v>-8.8819999999999996E-2</c:v>
                </c:pt>
                <c:pt idx="39">
                  <c:v>-0.13249</c:v>
                </c:pt>
                <c:pt idx="40">
                  <c:v>-0.13949</c:v>
                </c:pt>
                <c:pt idx="41">
                  <c:v>-9.9129999999999996E-2</c:v>
                </c:pt>
                <c:pt idx="42">
                  <c:v>-7.4870000000000006E-2</c:v>
                </c:pt>
                <c:pt idx="43">
                  <c:v>-4.9889999999999997E-2</c:v>
                </c:pt>
                <c:pt idx="44">
                  <c:v>-2.5270000000000001E-2</c:v>
                </c:pt>
                <c:pt idx="45">
                  <c:v>-9.2399999999999996E-2</c:v>
                </c:pt>
                <c:pt idx="46">
                  <c:v>-5.9769999999999997E-2</c:v>
                </c:pt>
                <c:pt idx="47">
                  <c:v>-1.9949999999999999E-2</c:v>
                </c:pt>
                <c:pt idx="48">
                  <c:v>1.204E-2</c:v>
                </c:pt>
                <c:pt idx="49">
                  <c:v>4.1119999999999997E-2</c:v>
                </c:pt>
                <c:pt idx="50">
                  <c:v>7.9439999999999997E-2</c:v>
                </c:pt>
                <c:pt idx="51">
                  <c:v>0.10956</c:v>
                </c:pt>
                <c:pt idx="52">
                  <c:v>0.11651</c:v>
                </c:pt>
                <c:pt idx="53">
                  <c:v>0.11203</c:v>
                </c:pt>
                <c:pt idx="54">
                  <c:v>9.8570000000000005E-2</c:v>
                </c:pt>
                <c:pt idx="55">
                  <c:v>6.7610000000000003E-2</c:v>
                </c:pt>
                <c:pt idx="56">
                  <c:v>4.027E-2</c:v>
                </c:pt>
                <c:pt idx="57">
                  <c:v>1.585E-2</c:v>
                </c:pt>
                <c:pt idx="58">
                  <c:v>7.0069999999999993E-2</c:v>
                </c:pt>
                <c:pt idx="59">
                  <c:v>3.653E-2</c:v>
                </c:pt>
                <c:pt idx="60">
                  <c:v>3.9100000000000003E-3</c:v>
                </c:pt>
                <c:pt idx="61">
                  <c:v>-2.8649999999999998E-2</c:v>
                </c:pt>
                <c:pt idx="62">
                  <c:v>-5.8160000000000003E-2</c:v>
                </c:pt>
                <c:pt idx="63">
                  <c:v>-8.7279999999999996E-2</c:v>
                </c:pt>
                <c:pt idx="64">
                  <c:v>-0.10736</c:v>
                </c:pt>
                <c:pt idx="65">
                  <c:v>-0.11317000000000001</c:v>
                </c:pt>
                <c:pt idx="66">
                  <c:v>-0.1075</c:v>
                </c:pt>
                <c:pt idx="67">
                  <c:v>-9.3079999999999996E-2</c:v>
                </c:pt>
                <c:pt idx="68">
                  <c:v>-6.1589999999999999E-2</c:v>
                </c:pt>
                <c:pt idx="69">
                  <c:v>-3.0439999999999998E-2</c:v>
                </c:pt>
                <c:pt idx="70">
                  <c:v>-1.695E-2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A6-4EE4-8614-46B83DB8F3AD}"/>
            </c:ext>
          </c:extLst>
        </c:ser>
        <c:ser>
          <c:idx val="3"/>
          <c:order val="4"/>
          <c:tx>
            <c:strRef>
              <c:f>Data!$AO$1</c:f>
              <c:strCache>
                <c:ptCount val="1"/>
                <c:pt idx="0">
                  <c:v>Pos-Norm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Data!$AO$130:$AO$200</c:f>
              <c:numCache>
                <c:formatCode>0.000</c:formatCode>
                <c:ptCount val="71"/>
                <c:pt idx="0">
                  <c:v>0.84079696394686909</c:v>
                </c:pt>
                <c:pt idx="1">
                  <c:v>0.84724857685009491</c:v>
                </c:pt>
                <c:pt idx="2">
                  <c:v>0.85407969639468695</c:v>
                </c:pt>
                <c:pt idx="3">
                  <c:v>0.8612903225806452</c:v>
                </c:pt>
                <c:pt idx="4">
                  <c:v>0.86888045540796965</c:v>
                </c:pt>
                <c:pt idx="5">
                  <c:v>0.87647058823529411</c:v>
                </c:pt>
                <c:pt idx="6">
                  <c:v>0.88311195445920299</c:v>
                </c:pt>
                <c:pt idx="7">
                  <c:v>0.88975332068311197</c:v>
                </c:pt>
                <c:pt idx="8">
                  <c:v>0.896584440227704</c:v>
                </c:pt>
                <c:pt idx="9">
                  <c:v>0.9039848197343453</c:v>
                </c:pt>
                <c:pt idx="10">
                  <c:v>0.91062618595825429</c:v>
                </c:pt>
                <c:pt idx="11">
                  <c:v>0.91783681214421253</c:v>
                </c:pt>
                <c:pt idx="12">
                  <c:v>0.92504743833017078</c:v>
                </c:pt>
                <c:pt idx="13">
                  <c:v>0.93168880455407965</c:v>
                </c:pt>
                <c:pt idx="14">
                  <c:v>0.93965844402277043</c:v>
                </c:pt>
                <c:pt idx="15">
                  <c:v>0.94648956356736247</c:v>
                </c:pt>
                <c:pt idx="16">
                  <c:v>0.9533206831119545</c:v>
                </c:pt>
                <c:pt idx="17">
                  <c:v>0.95996204933586338</c:v>
                </c:pt>
                <c:pt idx="18">
                  <c:v>0.96698292220113857</c:v>
                </c:pt>
                <c:pt idx="19">
                  <c:v>0.9738140417457305</c:v>
                </c:pt>
                <c:pt idx="20">
                  <c:v>0.98064516129032253</c:v>
                </c:pt>
                <c:pt idx="21">
                  <c:v>0.98728652751423152</c:v>
                </c:pt>
                <c:pt idx="22">
                  <c:v>0.99354838709677418</c:v>
                </c:pt>
                <c:pt idx="23">
                  <c:v>0.99753320683111957</c:v>
                </c:pt>
                <c:pt idx="24">
                  <c:v>0.99829222011385199</c:v>
                </c:pt>
                <c:pt idx="25">
                  <c:v>0.99753320683111957</c:v>
                </c:pt>
                <c:pt idx="26">
                  <c:v>0.99677419354838714</c:v>
                </c:pt>
                <c:pt idx="27">
                  <c:v>0.99658444022770398</c:v>
                </c:pt>
                <c:pt idx="28">
                  <c:v>0.99715370018975336</c:v>
                </c:pt>
                <c:pt idx="29">
                  <c:v>0.99791271347248578</c:v>
                </c:pt>
                <c:pt idx="30">
                  <c:v>0.9986717267552182</c:v>
                </c:pt>
                <c:pt idx="31">
                  <c:v>0.99962049335863379</c:v>
                </c:pt>
                <c:pt idx="32">
                  <c:v>1.0003795066413663</c:v>
                </c:pt>
                <c:pt idx="33">
                  <c:v>1.0009487666034156</c:v>
                </c:pt>
                <c:pt idx="34">
                  <c:v>1.001707779886148</c:v>
                </c:pt>
                <c:pt idx="35">
                  <c:v>1.0022770398481973</c:v>
                </c:pt>
                <c:pt idx="36">
                  <c:v>1.0030360531309297</c:v>
                </c:pt>
                <c:pt idx="37">
                  <c:v>1.0032258064516129</c:v>
                </c:pt>
                <c:pt idx="38">
                  <c:v>1.0032258064516129</c:v>
                </c:pt>
                <c:pt idx="39">
                  <c:v>1.0030360531309297</c:v>
                </c:pt>
                <c:pt idx="40">
                  <c:v>1.0022770398481973</c:v>
                </c:pt>
                <c:pt idx="41">
                  <c:v>1.001707779886148</c:v>
                </c:pt>
                <c:pt idx="42">
                  <c:v>1.0009487666034156</c:v>
                </c:pt>
                <c:pt idx="43">
                  <c:v>1.0003795066413663</c:v>
                </c:pt>
                <c:pt idx="44">
                  <c:v>0.99962049335863379</c:v>
                </c:pt>
                <c:pt idx="45">
                  <c:v>0.99905123339658441</c:v>
                </c:pt>
                <c:pt idx="46">
                  <c:v>0.9986717267552182</c:v>
                </c:pt>
                <c:pt idx="47">
                  <c:v>0.99810246679316883</c:v>
                </c:pt>
                <c:pt idx="48">
                  <c:v>0.99772296015180262</c:v>
                </c:pt>
                <c:pt idx="49">
                  <c:v>0.99753320683111957</c:v>
                </c:pt>
                <c:pt idx="50">
                  <c:v>0.99753320683111957</c:v>
                </c:pt>
                <c:pt idx="51">
                  <c:v>0.99772296015180262</c:v>
                </c:pt>
                <c:pt idx="52">
                  <c:v>0.99791271347248578</c:v>
                </c:pt>
                <c:pt idx="53">
                  <c:v>0.99829222011385199</c:v>
                </c:pt>
                <c:pt idx="54">
                  <c:v>0.99886148007590136</c:v>
                </c:pt>
                <c:pt idx="55">
                  <c:v>0.99943074003795063</c:v>
                </c:pt>
                <c:pt idx="56">
                  <c:v>1</c:v>
                </c:pt>
                <c:pt idx="57">
                  <c:v>1.0005692599620493</c:v>
                </c:pt>
                <c:pt idx="58">
                  <c:v>1.0009487666034156</c:v>
                </c:pt>
                <c:pt idx="59">
                  <c:v>1.0013282732447817</c:v>
                </c:pt>
                <c:pt idx="60">
                  <c:v>1.0018975332068312</c:v>
                </c:pt>
                <c:pt idx="61">
                  <c:v>1.0020872865275143</c:v>
                </c:pt>
                <c:pt idx="62">
                  <c:v>1.0022770398481973</c:v>
                </c:pt>
                <c:pt idx="63">
                  <c:v>1.0022770398481973</c:v>
                </c:pt>
                <c:pt idx="64">
                  <c:v>1.0020872865275143</c:v>
                </c:pt>
                <c:pt idx="65">
                  <c:v>1.0018975332068312</c:v>
                </c:pt>
                <c:pt idx="66">
                  <c:v>1.0015180265654648</c:v>
                </c:pt>
                <c:pt idx="67">
                  <c:v>1.0009487666034156</c:v>
                </c:pt>
                <c:pt idx="68">
                  <c:v>1.0003795066413663</c:v>
                </c:pt>
                <c:pt idx="69">
                  <c:v>1</c:v>
                </c:pt>
                <c:pt idx="70">
                  <c:v>0.99962049335863379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A6-4EE4-8614-46B83DB8F3AD}"/>
            </c:ext>
          </c:extLst>
        </c:ser>
        <c:ser>
          <c:idx val="4"/>
          <c:order val="5"/>
          <c:tx>
            <c:strRef>
              <c:f>Data!$AR$1</c:f>
              <c:strCache>
                <c:ptCount val="1"/>
                <c:pt idx="0">
                  <c:v>I-Target-Norm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Data!$AR$130:$AR$200</c:f>
              <c:numCache>
                <c:formatCode>0.000</c:formatCode>
                <c:ptCount val="71"/>
                <c:pt idx="0">
                  <c:v>0.89848197343453506</c:v>
                </c:pt>
                <c:pt idx="1">
                  <c:v>0.90702087286527511</c:v>
                </c:pt>
                <c:pt idx="2">
                  <c:v>0.91385199240986714</c:v>
                </c:pt>
                <c:pt idx="3">
                  <c:v>0.9214421252371916</c:v>
                </c:pt>
                <c:pt idx="4">
                  <c:v>0.92922201138519922</c:v>
                </c:pt>
                <c:pt idx="5">
                  <c:v>0.93700189753320684</c:v>
                </c:pt>
                <c:pt idx="6">
                  <c:v>0.94383301707779887</c:v>
                </c:pt>
                <c:pt idx="7">
                  <c:v>0.95066413662239091</c:v>
                </c:pt>
                <c:pt idx="8">
                  <c:v>0.95768500948766599</c:v>
                </c:pt>
                <c:pt idx="9">
                  <c:v>0.9650853889943074</c:v>
                </c:pt>
                <c:pt idx="10">
                  <c:v>0.97210626185958249</c:v>
                </c:pt>
                <c:pt idx="11">
                  <c:v>0.97931688804554085</c:v>
                </c:pt>
                <c:pt idx="12">
                  <c:v>0.98671726755218214</c:v>
                </c:pt>
                <c:pt idx="13">
                  <c:v>0.99259962049335859</c:v>
                </c:pt>
                <c:pt idx="14">
                  <c:v>0.99677419354838714</c:v>
                </c:pt>
                <c:pt idx="15">
                  <c:v>0.99943074003795063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A6-4EE4-8614-46B83DB8F3AD}"/>
            </c:ext>
          </c:extLst>
        </c:ser>
        <c:ser>
          <c:idx val="10"/>
          <c:order val="11"/>
          <c:tx>
            <c:strRef>
              <c:f>Data!$AQ$1</c:f>
              <c:strCache>
                <c:ptCount val="1"/>
                <c:pt idx="0">
                  <c:v>Relative-Error</c:v>
                </c:pt>
              </c:strCache>
            </c:strRef>
          </c:tx>
          <c:spPr>
            <a:ln w="3492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9.4789999999999992</c:v>
                </c:pt>
                <c:pt idx="1">
                  <c:v>24.558</c:v>
                </c:pt>
                <c:pt idx="2">
                  <c:v>39.902000000000001</c:v>
                </c:pt>
                <c:pt idx="3">
                  <c:v>55.198999999999998</c:v>
                </c:pt>
                <c:pt idx="4">
                  <c:v>69.929000000000002</c:v>
                </c:pt>
                <c:pt idx="5">
                  <c:v>85.262</c:v>
                </c:pt>
                <c:pt idx="6">
                  <c:v>99.899000000000001</c:v>
                </c:pt>
                <c:pt idx="7">
                  <c:v>115.592</c:v>
                </c:pt>
                <c:pt idx="8">
                  <c:v>130.416</c:v>
                </c:pt>
                <c:pt idx="9">
                  <c:v>143.70599999999999</c:v>
                </c:pt>
                <c:pt idx="10">
                  <c:v>157.30699999999999</c:v>
                </c:pt>
                <c:pt idx="11">
                  <c:v>172.58500000000001</c:v>
                </c:pt>
                <c:pt idx="12">
                  <c:v>186.62200000000001</c:v>
                </c:pt>
                <c:pt idx="13">
                  <c:v>200.55600000000001</c:v>
                </c:pt>
                <c:pt idx="14">
                  <c:v>214.215</c:v>
                </c:pt>
                <c:pt idx="15">
                  <c:v>226.923</c:v>
                </c:pt>
                <c:pt idx="16">
                  <c:v>240.13200000000001</c:v>
                </c:pt>
                <c:pt idx="17">
                  <c:v>253.08500000000001</c:v>
                </c:pt>
                <c:pt idx="18">
                  <c:v>267.26400000000001</c:v>
                </c:pt>
                <c:pt idx="19">
                  <c:v>281.33499999999998</c:v>
                </c:pt>
                <c:pt idx="20">
                  <c:v>294.14800000000002</c:v>
                </c:pt>
                <c:pt idx="21">
                  <c:v>305.60199999999998</c:v>
                </c:pt>
                <c:pt idx="22">
                  <c:v>317.81</c:v>
                </c:pt>
                <c:pt idx="23">
                  <c:v>329.31099999999998</c:v>
                </c:pt>
                <c:pt idx="24">
                  <c:v>340.96499999999997</c:v>
                </c:pt>
                <c:pt idx="25">
                  <c:v>352.63400000000001</c:v>
                </c:pt>
                <c:pt idx="26">
                  <c:v>365.346</c:v>
                </c:pt>
                <c:pt idx="27">
                  <c:v>377.82499999999999</c:v>
                </c:pt>
                <c:pt idx="28">
                  <c:v>389.392</c:v>
                </c:pt>
                <c:pt idx="29">
                  <c:v>401.74200000000002</c:v>
                </c:pt>
                <c:pt idx="30">
                  <c:v>415.07</c:v>
                </c:pt>
                <c:pt idx="31">
                  <c:v>428.74900000000002</c:v>
                </c:pt>
                <c:pt idx="32">
                  <c:v>442.90499999999997</c:v>
                </c:pt>
                <c:pt idx="33">
                  <c:v>455.762</c:v>
                </c:pt>
                <c:pt idx="34">
                  <c:v>468.84300000000002</c:v>
                </c:pt>
                <c:pt idx="35">
                  <c:v>481.08300000000003</c:v>
                </c:pt>
                <c:pt idx="36">
                  <c:v>492.5</c:v>
                </c:pt>
                <c:pt idx="37">
                  <c:v>508.04500000000002</c:v>
                </c:pt>
                <c:pt idx="38">
                  <c:v>520.46299999999997</c:v>
                </c:pt>
                <c:pt idx="39">
                  <c:v>532.125</c:v>
                </c:pt>
                <c:pt idx="40">
                  <c:v>544.42999999999995</c:v>
                </c:pt>
                <c:pt idx="41">
                  <c:v>556.16200000000003</c:v>
                </c:pt>
                <c:pt idx="42">
                  <c:v>568.01199999999994</c:v>
                </c:pt>
                <c:pt idx="43">
                  <c:v>581.524</c:v>
                </c:pt>
                <c:pt idx="44">
                  <c:v>593.83900000000006</c:v>
                </c:pt>
                <c:pt idx="45">
                  <c:v>606.20799999999997</c:v>
                </c:pt>
                <c:pt idx="46">
                  <c:v>620.50800000000004</c:v>
                </c:pt>
                <c:pt idx="47">
                  <c:v>636.23900000000003</c:v>
                </c:pt>
                <c:pt idx="48">
                  <c:v>648.15</c:v>
                </c:pt>
                <c:pt idx="49">
                  <c:v>662.18299999999999</c:v>
                </c:pt>
                <c:pt idx="50">
                  <c:v>674.57500000000005</c:v>
                </c:pt>
                <c:pt idx="51">
                  <c:v>688.26700000000005</c:v>
                </c:pt>
                <c:pt idx="52">
                  <c:v>701.86699999999996</c:v>
                </c:pt>
                <c:pt idx="53">
                  <c:v>714.00800000000004</c:v>
                </c:pt>
                <c:pt idx="54">
                  <c:v>726.20799999999997</c:v>
                </c:pt>
                <c:pt idx="55">
                  <c:v>738.16899999999998</c:v>
                </c:pt>
                <c:pt idx="56">
                  <c:v>750.00900000000001</c:v>
                </c:pt>
                <c:pt idx="57">
                  <c:v>762.99199999999996</c:v>
                </c:pt>
                <c:pt idx="58">
                  <c:v>774.82500000000005</c:v>
                </c:pt>
                <c:pt idx="59">
                  <c:v>787.74300000000005</c:v>
                </c:pt>
                <c:pt idx="60">
                  <c:v>801.08199999999999</c:v>
                </c:pt>
                <c:pt idx="61">
                  <c:v>816.50800000000004</c:v>
                </c:pt>
                <c:pt idx="62">
                  <c:v>831.96900000000005</c:v>
                </c:pt>
                <c:pt idx="63">
                  <c:v>843.43700000000001</c:v>
                </c:pt>
                <c:pt idx="64">
                  <c:v>854.29</c:v>
                </c:pt>
                <c:pt idx="65">
                  <c:v>865.255</c:v>
                </c:pt>
                <c:pt idx="66">
                  <c:v>876.40200000000004</c:v>
                </c:pt>
                <c:pt idx="67">
                  <c:v>887.29399999999998</c:v>
                </c:pt>
                <c:pt idx="68">
                  <c:v>897.86599999999999</c:v>
                </c:pt>
                <c:pt idx="69">
                  <c:v>908.69200000000001</c:v>
                </c:pt>
                <c:pt idx="70">
                  <c:v>921.19500000000005</c:v>
                </c:pt>
                <c:pt idx="71">
                  <c:v>933.09299999999996</c:v>
                </c:pt>
                <c:pt idx="72">
                  <c:v>943.90800000000002</c:v>
                </c:pt>
                <c:pt idx="73">
                  <c:v>955.50400000000002</c:v>
                </c:pt>
                <c:pt idx="74">
                  <c:v>967.50300000000004</c:v>
                </c:pt>
                <c:pt idx="75">
                  <c:v>978.99800000000005</c:v>
                </c:pt>
                <c:pt idx="76">
                  <c:v>990.81100000000004</c:v>
                </c:pt>
                <c:pt idx="77">
                  <c:v>1003.01</c:v>
                </c:pt>
                <c:pt idx="78">
                  <c:v>1015.77</c:v>
                </c:pt>
                <c:pt idx="79">
                  <c:v>1027.2760000000001</c:v>
                </c:pt>
                <c:pt idx="80">
                  <c:v>1039.039</c:v>
                </c:pt>
                <c:pt idx="81">
                  <c:v>1050.6949999999999</c:v>
                </c:pt>
                <c:pt idx="82">
                  <c:v>1062.7280000000001</c:v>
                </c:pt>
                <c:pt idx="83">
                  <c:v>1074.258</c:v>
                </c:pt>
                <c:pt idx="84">
                  <c:v>1085.588</c:v>
                </c:pt>
                <c:pt idx="85">
                  <c:v>1097.3499999999999</c:v>
                </c:pt>
                <c:pt idx="86">
                  <c:v>1109.134</c:v>
                </c:pt>
                <c:pt idx="87">
                  <c:v>1121.229</c:v>
                </c:pt>
                <c:pt idx="88">
                  <c:v>1134.441</c:v>
                </c:pt>
                <c:pt idx="89">
                  <c:v>1146.049</c:v>
                </c:pt>
                <c:pt idx="90">
                  <c:v>1157.758</c:v>
                </c:pt>
                <c:pt idx="91">
                  <c:v>1169.1420000000001</c:v>
                </c:pt>
                <c:pt idx="92">
                  <c:v>1182.857</c:v>
                </c:pt>
                <c:pt idx="93">
                  <c:v>1195.191</c:v>
                </c:pt>
                <c:pt idx="94">
                  <c:v>1207.1590000000001</c:v>
                </c:pt>
                <c:pt idx="95">
                  <c:v>1218.4860000000001</c:v>
                </c:pt>
                <c:pt idx="96">
                  <c:v>1229.8789999999999</c:v>
                </c:pt>
                <c:pt idx="97">
                  <c:v>1241.27</c:v>
                </c:pt>
                <c:pt idx="98">
                  <c:v>1252.7190000000001</c:v>
                </c:pt>
                <c:pt idx="99">
                  <c:v>1264.1279999999999</c:v>
                </c:pt>
                <c:pt idx="100">
                  <c:v>1275.79</c:v>
                </c:pt>
                <c:pt idx="101">
                  <c:v>1287.154</c:v>
                </c:pt>
                <c:pt idx="102">
                  <c:v>1298.577</c:v>
                </c:pt>
                <c:pt idx="103">
                  <c:v>1310.5650000000001</c:v>
                </c:pt>
                <c:pt idx="104">
                  <c:v>1323.1959999999999</c:v>
                </c:pt>
                <c:pt idx="105">
                  <c:v>1337.8989999999999</c:v>
                </c:pt>
                <c:pt idx="106">
                  <c:v>1350.7560000000001</c:v>
                </c:pt>
                <c:pt idx="107">
                  <c:v>1363.3979999999999</c:v>
                </c:pt>
                <c:pt idx="108">
                  <c:v>1375.7850000000001</c:v>
                </c:pt>
                <c:pt idx="109">
                  <c:v>1388.5809999999999</c:v>
                </c:pt>
                <c:pt idx="110">
                  <c:v>1401.03</c:v>
                </c:pt>
                <c:pt idx="111">
                  <c:v>1414.3510000000001</c:v>
                </c:pt>
                <c:pt idx="112">
                  <c:v>1427.6690000000001</c:v>
                </c:pt>
                <c:pt idx="113">
                  <c:v>1441.8779999999999</c:v>
                </c:pt>
                <c:pt idx="114">
                  <c:v>1455.7639999999999</c:v>
                </c:pt>
                <c:pt idx="115">
                  <c:v>1468.7460000000001</c:v>
                </c:pt>
                <c:pt idx="116">
                  <c:v>1481.626</c:v>
                </c:pt>
                <c:pt idx="117">
                  <c:v>1494.0440000000001</c:v>
                </c:pt>
                <c:pt idx="118">
                  <c:v>1506.442</c:v>
                </c:pt>
                <c:pt idx="119">
                  <c:v>1520.722</c:v>
                </c:pt>
                <c:pt idx="120">
                  <c:v>1534.068</c:v>
                </c:pt>
                <c:pt idx="121">
                  <c:v>1547.546</c:v>
                </c:pt>
                <c:pt idx="122">
                  <c:v>1560.5319999999999</c:v>
                </c:pt>
                <c:pt idx="123">
                  <c:v>1572.51</c:v>
                </c:pt>
                <c:pt idx="124">
                  <c:v>1585.3</c:v>
                </c:pt>
                <c:pt idx="125">
                  <c:v>1598.1610000000001</c:v>
                </c:pt>
                <c:pt idx="126">
                  <c:v>1610.4280000000001</c:v>
                </c:pt>
                <c:pt idx="127">
                  <c:v>1622.376</c:v>
                </c:pt>
                <c:pt idx="128">
                  <c:v>1637.9670000000001</c:v>
                </c:pt>
                <c:pt idx="129">
                  <c:v>1649.9490000000001</c:v>
                </c:pt>
                <c:pt idx="130">
                  <c:v>1662.2829999999999</c:v>
                </c:pt>
                <c:pt idx="131">
                  <c:v>1675.7909999999999</c:v>
                </c:pt>
                <c:pt idx="132">
                  <c:v>1689.614</c:v>
                </c:pt>
                <c:pt idx="133">
                  <c:v>1703.5709999999999</c:v>
                </c:pt>
                <c:pt idx="134">
                  <c:v>1715.6210000000001</c:v>
                </c:pt>
                <c:pt idx="135">
                  <c:v>1727.798</c:v>
                </c:pt>
                <c:pt idx="136">
                  <c:v>1740.4449999999999</c:v>
                </c:pt>
                <c:pt idx="137">
                  <c:v>1753.8340000000001</c:v>
                </c:pt>
                <c:pt idx="138">
                  <c:v>1766.2750000000001</c:v>
                </c:pt>
                <c:pt idx="139">
                  <c:v>1779.3</c:v>
                </c:pt>
                <c:pt idx="140">
                  <c:v>1792.461</c:v>
                </c:pt>
                <c:pt idx="141">
                  <c:v>1804.6849999999999</c:v>
                </c:pt>
                <c:pt idx="142">
                  <c:v>1819.152</c:v>
                </c:pt>
                <c:pt idx="143">
                  <c:v>1831.8589999999999</c:v>
                </c:pt>
                <c:pt idx="144">
                  <c:v>1844.9590000000001</c:v>
                </c:pt>
                <c:pt idx="145">
                  <c:v>1857.7860000000001</c:v>
                </c:pt>
                <c:pt idx="146">
                  <c:v>1871.3440000000001</c:v>
                </c:pt>
                <c:pt idx="147">
                  <c:v>1885.373</c:v>
                </c:pt>
                <c:pt idx="148">
                  <c:v>1899.32</c:v>
                </c:pt>
                <c:pt idx="149">
                  <c:v>1913.4090000000001</c:v>
                </c:pt>
                <c:pt idx="150">
                  <c:v>1927.07</c:v>
                </c:pt>
                <c:pt idx="151">
                  <c:v>1941.4559999999999</c:v>
                </c:pt>
                <c:pt idx="152">
                  <c:v>1956.001</c:v>
                </c:pt>
                <c:pt idx="153">
                  <c:v>1970.31</c:v>
                </c:pt>
                <c:pt idx="154">
                  <c:v>1985.883</c:v>
                </c:pt>
                <c:pt idx="155">
                  <c:v>1999.1659999999999</c:v>
                </c:pt>
                <c:pt idx="156">
                  <c:v>2017.298</c:v>
                </c:pt>
                <c:pt idx="157">
                  <c:v>2030.605</c:v>
                </c:pt>
                <c:pt idx="158">
                  <c:v>2043.885</c:v>
                </c:pt>
                <c:pt idx="159">
                  <c:v>2059.0569999999998</c:v>
                </c:pt>
                <c:pt idx="160">
                  <c:v>2072.9470000000001</c:v>
                </c:pt>
                <c:pt idx="161">
                  <c:v>2086.326</c:v>
                </c:pt>
                <c:pt idx="162">
                  <c:v>2099.5059999999999</c:v>
                </c:pt>
                <c:pt idx="163">
                  <c:v>2113.9839999999999</c:v>
                </c:pt>
                <c:pt idx="164">
                  <c:v>2130.0419999999999</c:v>
                </c:pt>
                <c:pt idx="165">
                  <c:v>2144.587</c:v>
                </c:pt>
                <c:pt idx="166">
                  <c:v>2156.8649999999998</c:v>
                </c:pt>
                <c:pt idx="167">
                  <c:v>2169.6880000000001</c:v>
                </c:pt>
                <c:pt idx="168">
                  <c:v>2183.636</c:v>
                </c:pt>
                <c:pt idx="169">
                  <c:v>2196.1410000000001</c:v>
                </c:pt>
                <c:pt idx="170">
                  <c:v>2209.9059999999999</c:v>
                </c:pt>
                <c:pt idx="171">
                  <c:v>2222.2530000000002</c:v>
                </c:pt>
                <c:pt idx="172">
                  <c:v>2235.009</c:v>
                </c:pt>
                <c:pt idx="173">
                  <c:v>2248.944</c:v>
                </c:pt>
                <c:pt idx="174">
                  <c:v>2262.8020000000001</c:v>
                </c:pt>
                <c:pt idx="175">
                  <c:v>2275.34</c:v>
                </c:pt>
                <c:pt idx="176">
                  <c:v>2287.5140000000001</c:v>
                </c:pt>
                <c:pt idx="177">
                  <c:v>2299.5259999999998</c:v>
                </c:pt>
                <c:pt idx="178">
                  <c:v>2311.4850000000001</c:v>
                </c:pt>
                <c:pt idx="179">
                  <c:v>2323.509</c:v>
                </c:pt>
                <c:pt idx="180">
                  <c:v>2335.5059999999999</c:v>
                </c:pt>
                <c:pt idx="181">
                  <c:v>2347.5450000000001</c:v>
                </c:pt>
                <c:pt idx="182">
                  <c:v>2359.6280000000002</c:v>
                </c:pt>
                <c:pt idx="183">
                  <c:v>2372.9279999999999</c:v>
                </c:pt>
                <c:pt idx="184">
                  <c:v>2385</c:v>
                </c:pt>
                <c:pt idx="185">
                  <c:v>2399.4389999999999</c:v>
                </c:pt>
                <c:pt idx="186">
                  <c:v>2413.3229999999999</c:v>
                </c:pt>
                <c:pt idx="187">
                  <c:v>2425.6469999999999</c:v>
                </c:pt>
                <c:pt idx="188">
                  <c:v>2443.2640000000001</c:v>
                </c:pt>
                <c:pt idx="189">
                  <c:v>2457.7890000000002</c:v>
                </c:pt>
                <c:pt idx="190">
                  <c:v>2469.3389999999999</c:v>
                </c:pt>
                <c:pt idx="191">
                  <c:v>2481.2489999999998</c:v>
                </c:pt>
                <c:pt idx="192">
                  <c:v>2494.306</c:v>
                </c:pt>
                <c:pt idx="193">
                  <c:v>2505.7710000000002</c:v>
                </c:pt>
                <c:pt idx="194">
                  <c:v>2518.732</c:v>
                </c:pt>
                <c:pt idx="195">
                  <c:v>2530.16</c:v>
                </c:pt>
                <c:pt idx="196">
                  <c:v>2542.6289999999999</c:v>
                </c:pt>
                <c:pt idx="197">
                  <c:v>2554.3560000000002</c:v>
                </c:pt>
                <c:pt idx="198">
                  <c:v>2565.8310000000001</c:v>
                </c:pt>
                <c:pt idx="199">
                  <c:v>2577.337</c:v>
                </c:pt>
                <c:pt idx="200">
                  <c:v>2589.069</c:v>
                </c:pt>
                <c:pt idx="201">
                  <c:v>2601.34</c:v>
                </c:pt>
                <c:pt idx="202">
                  <c:v>2613.8609999999999</c:v>
                </c:pt>
                <c:pt idx="203">
                  <c:v>2625.6590000000001</c:v>
                </c:pt>
                <c:pt idx="204">
                  <c:v>2637.3670000000002</c:v>
                </c:pt>
                <c:pt idx="205">
                  <c:v>2650.8020000000001</c:v>
                </c:pt>
                <c:pt idx="206">
                  <c:v>2662.5039999999999</c:v>
                </c:pt>
                <c:pt idx="207">
                  <c:v>2673.8919999999998</c:v>
                </c:pt>
                <c:pt idx="208">
                  <c:v>2686.569</c:v>
                </c:pt>
                <c:pt idx="209">
                  <c:v>2698.5729999999999</c:v>
                </c:pt>
                <c:pt idx="210">
                  <c:v>2711.8690000000001</c:v>
                </c:pt>
                <c:pt idx="211">
                  <c:v>2725.018</c:v>
                </c:pt>
                <c:pt idx="212">
                  <c:v>2739.241</c:v>
                </c:pt>
                <c:pt idx="213">
                  <c:v>2752.4520000000002</c:v>
                </c:pt>
                <c:pt idx="214">
                  <c:v>2764.9960000000001</c:v>
                </c:pt>
                <c:pt idx="215">
                  <c:v>2777.462</c:v>
                </c:pt>
                <c:pt idx="216">
                  <c:v>2790.1030000000001</c:v>
                </c:pt>
                <c:pt idx="217">
                  <c:v>2803.3890000000001</c:v>
                </c:pt>
                <c:pt idx="218">
                  <c:v>2816.3130000000001</c:v>
                </c:pt>
                <c:pt idx="219">
                  <c:v>2829.52</c:v>
                </c:pt>
                <c:pt idx="220">
                  <c:v>2842.8290000000002</c:v>
                </c:pt>
                <c:pt idx="221">
                  <c:v>2857.2</c:v>
                </c:pt>
                <c:pt idx="222">
                  <c:v>2868.5810000000001</c:v>
                </c:pt>
                <c:pt idx="223">
                  <c:v>2880.3220000000001</c:v>
                </c:pt>
                <c:pt idx="224">
                  <c:v>2892.03</c:v>
                </c:pt>
                <c:pt idx="225">
                  <c:v>2903.855</c:v>
                </c:pt>
                <c:pt idx="226">
                  <c:v>2915.3229999999999</c:v>
                </c:pt>
                <c:pt idx="227">
                  <c:v>2926.855</c:v>
                </c:pt>
                <c:pt idx="228">
                  <c:v>2942.5450000000001</c:v>
                </c:pt>
                <c:pt idx="229">
                  <c:v>2954.451</c:v>
                </c:pt>
              </c:numCache>
            </c:numRef>
          </c:cat>
          <c:val>
            <c:numRef>
              <c:f>Data!$AQ$130:$AQ$200</c:f>
              <c:numCache>
                <c:formatCode>0%</c:formatCode>
                <c:ptCount val="71"/>
                <c:pt idx="0">
                  <c:v>0.93538461538461537</c:v>
                </c:pt>
                <c:pt idx="1">
                  <c:v>0.96923076923076923</c:v>
                </c:pt>
                <c:pt idx="2">
                  <c:v>0.96923076923076923</c:v>
                </c:pt>
                <c:pt idx="3">
                  <c:v>0.97538461538461541</c:v>
                </c:pt>
                <c:pt idx="4">
                  <c:v>0.97846153846153849</c:v>
                </c:pt>
                <c:pt idx="5">
                  <c:v>0.98153846153846158</c:v>
                </c:pt>
                <c:pt idx="6">
                  <c:v>0.98461538461538467</c:v>
                </c:pt>
                <c:pt idx="7">
                  <c:v>0.98769230769230765</c:v>
                </c:pt>
                <c:pt idx="8">
                  <c:v>0.99076923076923074</c:v>
                </c:pt>
                <c:pt idx="9">
                  <c:v>0.99076923076923074</c:v>
                </c:pt>
                <c:pt idx="10">
                  <c:v>0.99692307692307691</c:v>
                </c:pt>
                <c:pt idx="11">
                  <c:v>0.99692307692307691</c:v>
                </c:pt>
                <c:pt idx="12">
                  <c:v>1</c:v>
                </c:pt>
                <c:pt idx="13">
                  <c:v>0.98769230769230765</c:v>
                </c:pt>
                <c:pt idx="14">
                  <c:v>0.92615384615384611</c:v>
                </c:pt>
                <c:pt idx="15">
                  <c:v>0.8584615384615385</c:v>
                </c:pt>
                <c:pt idx="16">
                  <c:v>0.75692307692307692</c:v>
                </c:pt>
                <c:pt idx="17">
                  <c:v>0.64923076923076928</c:v>
                </c:pt>
                <c:pt idx="18">
                  <c:v>0.53538461538461535</c:v>
                </c:pt>
                <c:pt idx="19">
                  <c:v>0.42461538461538462</c:v>
                </c:pt>
                <c:pt idx="20">
                  <c:v>0.31384615384615383</c:v>
                </c:pt>
                <c:pt idx="21">
                  <c:v>0.20615384615384616</c:v>
                </c:pt>
                <c:pt idx="22">
                  <c:v>0.10461538461538461</c:v>
                </c:pt>
                <c:pt idx="23">
                  <c:v>0.04</c:v>
                </c:pt>
                <c:pt idx="24">
                  <c:v>2.7692307692307693E-2</c:v>
                </c:pt>
                <c:pt idx="25">
                  <c:v>0.04</c:v>
                </c:pt>
                <c:pt idx="26">
                  <c:v>5.2307692307692305E-2</c:v>
                </c:pt>
                <c:pt idx="27">
                  <c:v>5.5384615384615386E-2</c:v>
                </c:pt>
                <c:pt idx="28">
                  <c:v>4.6153846153846156E-2</c:v>
                </c:pt>
                <c:pt idx="29">
                  <c:v>3.3846153846153845E-2</c:v>
                </c:pt>
                <c:pt idx="30">
                  <c:v>2.1538461538461538E-2</c:v>
                </c:pt>
                <c:pt idx="31">
                  <c:v>6.1538461538461538E-3</c:v>
                </c:pt>
                <c:pt idx="32">
                  <c:v>-6.1538461538461538E-3</c:v>
                </c:pt>
                <c:pt idx="33">
                  <c:v>-1.5384615384615385E-2</c:v>
                </c:pt>
                <c:pt idx="34">
                  <c:v>-2.7692307692307693E-2</c:v>
                </c:pt>
                <c:pt idx="35">
                  <c:v>-3.6923076923076927E-2</c:v>
                </c:pt>
                <c:pt idx="36">
                  <c:v>-4.9230769230769231E-2</c:v>
                </c:pt>
                <c:pt idx="37">
                  <c:v>-5.2307692307692305E-2</c:v>
                </c:pt>
                <c:pt idx="38">
                  <c:v>-5.2307692307692305E-2</c:v>
                </c:pt>
                <c:pt idx="39">
                  <c:v>-4.9230769230769231E-2</c:v>
                </c:pt>
                <c:pt idx="40">
                  <c:v>-3.6923076923076927E-2</c:v>
                </c:pt>
                <c:pt idx="41">
                  <c:v>-2.7692307692307693E-2</c:v>
                </c:pt>
                <c:pt idx="42">
                  <c:v>-1.5384615384615385E-2</c:v>
                </c:pt>
                <c:pt idx="43">
                  <c:v>-6.1538461538461538E-3</c:v>
                </c:pt>
                <c:pt idx="44">
                  <c:v>6.1538461538461538E-3</c:v>
                </c:pt>
                <c:pt idx="45">
                  <c:v>1.5384615384615385E-2</c:v>
                </c:pt>
                <c:pt idx="46">
                  <c:v>2.1538461538461538E-2</c:v>
                </c:pt>
                <c:pt idx="47">
                  <c:v>3.0769230769230771E-2</c:v>
                </c:pt>
                <c:pt idx="48">
                  <c:v>3.6923076923076927E-2</c:v>
                </c:pt>
                <c:pt idx="49">
                  <c:v>0.04</c:v>
                </c:pt>
                <c:pt idx="50">
                  <c:v>0.04</c:v>
                </c:pt>
                <c:pt idx="51">
                  <c:v>3.6923076923076927E-2</c:v>
                </c:pt>
                <c:pt idx="52">
                  <c:v>3.3846153846153845E-2</c:v>
                </c:pt>
                <c:pt idx="53">
                  <c:v>2.7692307692307693E-2</c:v>
                </c:pt>
                <c:pt idx="54">
                  <c:v>1.8461538461538463E-2</c:v>
                </c:pt>
                <c:pt idx="55">
                  <c:v>9.2307692307692316E-3</c:v>
                </c:pt>
                <c:pt idx="56">
                  <c:v>0</c:v>
                </c:pt>
                <c:pt idx="57">
                  <c:v>-9.2307692307692316E-3</c:v>
                </c:pt>
                <c:pt idx="58">
                  <c:v>-1.5384615384615385E-2</c:v>
                </c:pt>
                <c:pt idx="59">
                  <c:v>-2.1538461538461538E-2</c:v>
                </c:pt>
                <c:pt idx="60">
                  <c:v>-3.0769230769230771E-2</c:v>
                </c:pt>
                <c:pt idx="61">
                  <c:v>-3.3846153846153845E-2</c:v>
                </c:pt>
                <c:pt idx="62">
                  <c:v>-3.6923076923076927E-2</c:v>
                </c:pt>
                <c:pt idx="63">
                  <c:v>-3.6923076923076927E-2</c:v>
                </c:pt>
                <c:pt idx="64">
                  <c:v>-3.3846153846153845E-2</c:v>
                </c:pt>
                <c:pt idx="65">
                  <c:v>-3.0769230769230771E-2</c:v>
                </c:pt>
                <c:pt idx="66">
                  <c:v>-2.4615384615384615E-2</c:v>
                </c:pt>
                <c:pt idx="67">
                  <c:v>-1.5384615384615385E-2</c:v>
                </c:pt>
                <c:pt idx="68">
                  <c:v>-6.1538461538461538E-3</c:v>
                </c:pt>
                <c:pt idx="69">
                  <c:v>0</c:v>
                </c:pt>
                <c:pt idx="70">
                  <c:v>6.1538461538461538E-3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A6-4EE4-8614-46B83DB8F3AD}"/>
            </c:ext>
          </c:extLst>
        </c:ser>
        <c:ser>
          <c:idx val="0"/>
          <c:order val="14"/>
          <c:tx>
            <c:strRef>
              <c:f>Data!$O$1</c:f>
              <c:strCache>
                <c:ptCount val="1"/>
                <c:pt idx="0">
                  <c:v>dError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Data!$O$130:$O$200</c:f>
              <c:numCache>
                <c:formatCode>General</c:formatCode>
                <c:ptCount val="71"/>
                <c:pt idx="0">
                  <c:v>8.1000000000000003E-2</c:v>
                </c:pt>
                <c:pt idx="1">
                  <c:v>8.1000000000000003E-2</c:v>
                </c:pt>
                <c:pt idx="2">
                  <c:v>8.1000000000000003E-2</c:v>
                </c:pt>
                <c:pt idx="3">
                  <c:v>0.22800000000000001</c:v>
                </c:pt>
                <c:pt idx="4">
                  <c:v>0.25600000000000001</c:v>
                </c:pt>
                <c:pt idx="5">
                  <c:v>0.14499999999999999</c:v>
                </c:pt>
                <c:pt idx="6">
                  <c:v>-0.128</c:v>
                </c:pt>
                <c:pt idx="7">
                  <c:v>-0.123</c:v>
                </c:pt>
                <c:pt idx="8">
                  <c:v>0.121</c:v>
                </c:pt>
                <c:pt idx="9">
                  <c:v>0.193</c:v>
                </c:pt>
                <c:pt idx="10">
                  <c:v>3.4000000000000002E-2</c:v>
                </c:pt>
                <c:pt idx="11">
                  <c:v>3.6999999999999998E-2</c:v>
                </c:pt>
                <c:pt idx="12">
                  <c:v>0.154</c:v>
                </c:pt>
                <c:pt idx="13">
                  <c:v>-0.248</c:v>
                </c:pt>
                <c:pt idx="14">
                  <c:v>-0.81100000000000005</c:v>
                </c:pt>
                <c:pt idx="15">
                  <c:v>-1.5449999999999999</c:v>
                </c:pt>
                <c:pt idx="16">
                  <c:v>-2.2749999999999999</c:v>
                </c:pt>
                <c:pt idx="17">
                  <c:v>-2.6640000000000001</c:v>
                </c:pt>
                <c:pt idx="18">
                  <c:v>-2.7589999999999999</c:v>
                </c:pt>
                <c:pt idx="19">
                  <c:v>-2.694</c:v>
                </c:pt>
                <c:pt idx="20">
                  <c:v>-2.605</c:v>
                </c:pt>
                <c:pt idx="21">
                  <c:v>-2.6</c:v>
                </c:pt>
                <c:pt idx="22">
                  <c:v>-2.5710000000000002</c:v>
                </c:pt>
                <c:pt idx="23">
                  <c:v>-2.4460000000000002</c:v>
                </c:pt>
                <c:pt idx="24">
                  <c:v>-1.8959999999999999</c:v>
                </c:pt>
                <c:pt idx="25">
                  <c:v>-0.82199999999999995</c:v>
                </c:pt>
                <c:pt idx="26">
                  <c:v>5.0000000000000001E-3</c:v>
                </c:pt>
                <c:pt idx="27">
                  <c:v>0.27400000000000002</c:v>
                </c:pt>
                <c:pt idx="28">
                  <c:v>0.159</c:v>
                </c:pt>
                <c:pt idx="29">
                  <c:v>-6.8000000000000005E-2</c:v>
                </c:pt>
                <c:pt idx="30">
                  <c:v>-0.25600000000000001</c:v>
                </c:pt>
                <c:pt idx="31">
                  <c:v>-0.28899999999999998</c:v>
                </c:pt>
                <c:pt idx="32">
                  <c:v>-0.315</c:v>
                </c:pt>
                <c:pt idx="33">
                  <c:v>-0.32900000000000001</c:v>
                </c:pt>
                <c:pt idx="34">
                  <c:v>-0.25900000000000001</c:v>
                </c:pt>
                <c:pt idx="35">
                  <c:v>-0.26</c:v>
                </c:pt>
                <c:pt idx="36">
                  <c:v>-0.23499999999999999</c:v>
                </c:pt>
                <c:pt idx="37">
                  <c:v>-0.23699999999999999</c:v>
                </c:pt>
                <c:pt idx="38">
                  <c:v>-0.184</c:v>
                </c:pt>
                <c:pt idx="39">
                  <c:v>-3.5999999999999997E-2</c:v>
                </c:pt>
                <c:pt idx="40">
                  <c:v>3.5999999999999997E-2</c:v>
                </c:pt>
                <c:pt idx="41">
                  <c:v>0.19400000000000001</c:v>
                </c:pt>
                <c:pt idx="42">
                  <c:v>0.26700000000000002</c:v>
                </c:pt>
                <c:pt idx="43">
                  <c:v>0.27300000000000002</c:v>
                </c:pt>
                <c:pt idx="44">
                  <c:v>0.28199999999999997</c:v>
                </c:pt>
                <c:pt idx="45">
                  <c:v>0.26900000000000002</c:v>
                </c:pt>
                <c:pt idx="46">
                  <c:v>0.254</c:v>
                </c:pt>
                <c:pt idx="47">
                  <c:v>0.183</c:v>
                </c:pt>
                <c:pt idx="48">
                  <c:v>0.2</c:v>
                </c:pt>
                <c:pt idx="49">
                  <c:v>0.20499999999999999</c:v>
                </c:pt>
                <c:pt idx="50">
                  <c:v>0.125</c:v>
                </c:pt>
                <c:pt idx="51">
                  <c:v>4.1000000000000002E-2</c:v>
                </c:pt>
                <c:pt idx="52">
                  <c:v>-4.2000000000000003E-2</c:v>
                </c:pt>
                <c:pt idx="53">
                  <c:v>-8.3000000000000004E-2</c:v>
                </c:pt>
                <c:pt idx="54">
                  <c:v>-0.125</c:v>
                </c:pt>
                <c:pt idx="55">
                  <c:v>-0.20799999999999999</c:v>
                </c:pt>
                <c:pt idx="56">
                  <c:v>-0.23699999999999999</c:v>
                </c:pt>
                <c:pt idx="57">
                  <c:v>-0.23400000000000001</c:v>
                </c:pt>
                <c:pt idx="58">
                  <c:v>-0.223</c:v>
                </c:pt>
                <c:pt idx="59">
                  <c:v>-0.17499999999999999</c:v>
                </c:pt>
                <c:pt idx="60">
                  <c:v>-0.14399999999999999</c:v>
                </c:pt>
                <c:pt idx="61">
                  <c:v>-0.157</c:v>
                </c:pt>
                <c:pt idx="62">
                  <c:v>-0.127</c:v>
                </c:pt>
                <c:pt idx="63">
                  <c:v>-8.2000000000000003E-2</c:v>
                </c:pt>
                <c:pt idx="64">
                  <c:v>-4.2000000000000003E-2</c:v>
                </c:pt>
                <c:pt idx="65">
                  <c:v>3.7999999999999999E-2</c:v>
                </c:pt>
                <c:pt idx="66">
                  <c:v>8.1000000000000003E-2</c:v>
                </c:pt>
                <c:pt idx="67">
                  <c:v>0.122</c:v>
                </c:pt>
                <c:pt idx="68">
                  <c:v>0.20200000000000001</c:v>
                </c:pt>
                <c:pt idx="69">
                  <c:v>0.248</c:v>
                </c:pt>
                <c:pt idx="70">
                  <c:v>0.21099999999999999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A6-4EE4-8614-46B83DB8F3AD}"/>
            </c:ext>
          </c:extLst>
        </c:ser>
        <c:ser>
          <c:idx val="15"/>
          <c:order val="15"/>
          <c:tx>
            <c:strRef>
              <c:f>Data!$AU$1</c:f>
              <c:strCache>
                <c:ptCount val="1"/>
                <c:pt idx="0">
                  <c:v>Error Speed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Data!$AU$130:$AU$200</c:f>
              <c:numCache>
                <c:formatCode>0.000</c:formatCode>
                <c:ptCount val="71"/>
                <c:pt idx="0">
                  <c:v>-0.51311654159450559</c:v>
                </c:pt>
                <c:pt idx="1">
                  <c:v>0.91804373226506653</c:v>
                </c:pt>
                <c:pt idx="2">
                  <c:v>0</c:v>
                </c:pt>
                <c:pt idx="3">
                  <c:v>0.14806040864672745</c:v>
                </c:pt>
                <c:pt idx="4">
                  <c:v>7.2343196122404196E-2</c:v>
                </c:pt>
                <c:pt idx="5">
                  <c:v>7.1648635093502083E-2</c:v>
                </c:pt>
                <c:pt idx="6">
                  <c:v>8.2987551867218665E-2</c:v>
                </c:pt>
                <c:pt idx="7">
                  <c:v>8.2122033341546163E-2</c:v>
                </c:pt>
                <c:pt idx="8">
                  <c:v>7.9070135209931613E-2</c:v>
                </c:pt>
                <c:pt idx="9">
                  <c:v>0</c:v>
                </c:pt>
                <c:pt idx="10">
                  <c:v>0.16075878144843622</c:v>
                </c:pt>
                <c:pt idx="11">
                  <c:v>0</c:v>
                </c:pt>
                <c:pt idx="12">
                  <c:v>7.5982068231896932E-2</c:v>
                </c:pt>
                <c:pt idx="13">
                  <c:v>-0.32722513089005417</c:v>
                </c:pt>
                <c:pt idx="14">
                  <c:v>-1.3824566254233679</c:v>
                </c:pt>
                <c:pt idx="15">
                  <c:v>-1.7313291886362012</c:v>
                </c:pt>
                <c:pt idx="16">
                  <c:v>-2.5190839694656226</c:v>
                </c:pt>
                <c:pt idx="17">
                  <c:v>-2.7286193186247765</c:v>
                </c:pt>
                <c:pt idx="18">
                  <c:v>-2.7290160790677107</c:v>
                </c:pt>
                <c:pt idx="19">
                  <c:v>-2.5661130515361044</c:v>
                </c:pt>
                <c:pt idx="20">
                  <c:v>-2.5812002581200462</c:v>
                </c:pt>
                <c:pt idx="21">
                  <c:v>-2.4842075377954136</c:v>
                </c:pt>
                <c:pt idx="22">
                  <c:v>-2.4156357514091509</c:v>
                </c:pt>
                <c:pt idx="23">
                  <c:v>-1.459752537188937</c:v>
                </c:pt>
                <c:pt idx="24">
                  <c:v>-0.2750085940185617</c:v>
                </c:pt>
                <c:pt idx="25">
                  <c:v>0.2795443427213648</c:v>
                </c:pt>
                <c:pt idx="26">
                  <c:v>0.25685481281705363</c:v>
                </c:pt>
                <c:pt idx="27">
                  <c:v>7.52841978468725E-2</c:v>
                </c:pt>
                <c:pt idx="28">
                  <c:v>-0.16545334215751101</c:v>
                </c:pt>
                <c:pt idx="29">
                  <c:v>-0.30059367250319347</c:v>
                </c:pt>
                <c:pt idx="30">
                  <c:v>-0.30120481927710907</c:v>
                </c:pt>
                <c:pt idx="31">
                  <c:v>-0.32955444239388787</c:v>
                </c:pt>
                <c:pt idx="32">
                  <c:v>-0.28797696184304578</c:v>
                </c:pt>
                <c:pt idx="33">
                  <c:v>-0.2242320053815697</c:v>
                </c:pt>
                <c:pt idx="34">
                  <c:v>-0.30349013657056523</c:v>
                </c:pt>
                <c:pt idx="35">
                  <c:v>-0.20721094073767002</c:v>
                </c:pt>
                <c:pt idx="36">
                  <c:v>-0.24909702329057179</c:v>
                </c:pt>
                <c:pt idx="37">
                  <c:v>-6.8752148504640426E-2</c:v>
                </c:pt>
                <c:pt idx="38">
                  <c:v>0</c:v>
                </c:pt>
                <c:pt idx="39">
                  <c:v>7.7984870935036657E-2</c:v>
                </c:pt>
                <c:pt idx="40">
                  <c:v>0.28677946659019493</c:v>
                </c:pt>
                <c:pt idx="41">
                  <c:v>0.23990403838464405</c:v>
                </c:pt>
                <c:pt idx="42">
                  <c:v>0.29059208136578546</c:v>
                </c:pt>
                <c:pt idx="43">
                  <c:v>0.24297400178180525</c:v>
                </c:pt>
                <c:pt idx="44">
                  <c:v>0.31357792411414587</c:v>
                </c:pt>
                <c:pt idx="45">
                  <c:v>0.21528525296017306</c:v>
                </c:pt>
                <c:pt idx="46">
                  <c:v>0.14432096983691547</c:v>
                </c:pt>
                <c:pt idx="47">
                  <c:v>0.23927261126176402</c:v>
                </c:pt>
                <c:pt idx="48">
                  <c:v>0.1642845408247087</c:v>
                </c:pt>
                <c:pt idx="49">
                  <c:v>8.3250083250085219E-2</c:v>
                </c:pt>
                <c:pt idx="50">
                  <c:v>0</c:v>
                </c:pt>
                <c:pt idx="51">
                  <c:v>-8.3166999334664787E-2</c:v>
                </c:pt>
                <c:pt idx="52">
                  <c:v>-8.3354171876303493E-2</c:v>
                </c:pt>
                <c:pt idx="53">
                  <c:v>-0.16612675471384369</c:v>
                </c:pt>
                <c:pt idx="54">
                  <c:v>-0.24828271124720511</c:v>
                </c:pt>
                <c:pt idx="55">
                  <c:v>-0.22556390977444071</c:v>
                </c:pt>
                <c:pt idx="56">
                  <c:v>-0.24850894632206519</c:v>
                </c:pt>
                <c:pt idx="57">
                  <c:v>-0.20777062123415962</c:v>
                </c:pt>
                <c:pt idx="58">
                  <c:v>-0.1440507058484585</c:v>
                </c:pt>
                <c:pt idx="59">
                  <c:v>-0.16228497241155379</c:v>
                </c:pt>
                <c:pt idx="60">
                  <c:v>-0.17029006073678651</c:v>
                </c:pt>
                <c:pt idx="61">
                  <c:v>-6.8846815834767205E-2</c:v>
                </c:pt>
                <c:pt idx="62">
                  <c:v>-8.658008658008863E-2</c:v>
                </c:pt>
                <c:pt idx="63">
                  <c:v>0</c:v>
                </c:pt>
                <c:pt idx="64">
                  <c:v>7.6587271195525872E-2</c:v>
                </c:pt>
                <c:pt idx="65">
                  <c:v>8.7221979938943511E-2</c:v>
                </c:pt>
                <c:pt idx="66">
                  <c:v>0.15430908108942468</c:v>
                </c:pt>
                <c:pt idx="67">
                  <c:v>0.26251312565628548</c:v>
                </c:pt>
                <c:pt idx="68">
                  <c:v>0.24059667976581825</c:v>
                </c:pt>
                <c:pt idx="69">
                  <c:v>0.17054660185895335</c:v>
                </c:pt>
                <c:pt idx="70">
                  <c:v>0.17429193899782272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2-499A-846F-8BD1240B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279087"/>
        <c:axId val="976282927"/>
        <c:extLst>
          <c:ext xmlns:c15="http://schemas.microsoft.com/office/drawing/2012/chart" uri="{02D57815-91ED-43cb-92C2-25804820EDAC}">
            <c15:filteredLineSeries>
              <c15:ser>
                <c:idx val="11"/>
                <c:order val="12"/>
                <c:tx>
                  <c:strRef>
                    <c:extLst>
                      <c:ext uri="{02D57815-91ED-43cb-92C2-25804820EDAC}">
                        <c15:formulaRef>
                          <c15:sqref>Data!$AS$1</c15:sqref>
                        </c15:formulaRef>
                      </c:ext>
                    </c:extLst>
                    <c:strCache>
                      <c:ptCount val="1"/>
                      <c:pt idx="0">
                        <c:v>Catch-up (100ms)</c:v>
                      </c:pt>
                    </c:strCache>
                  </c:strRef>
                </c:tx>
                <c:spPr>
                  <a:ln w="25400" cap="rnd">
                    <a:solidFill>
                      <a:srgbClr val="92028B"/>
                    </a:solidFill>
                    <a:prstDash val="dash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Data!$S$2:$S$1578</c15:sqref>
                        </c15:formulaRef>
                      </c:ext>
                    </c:extLst>
                    <c:numCache>
                      <c:formatCode>#,##0</c:formatCode>
                      <c:ptCount val="1577"/>
                      <c:pt idx="0" formatCode="General">
                        <c:v>9.4789999999999992</c:v>
                      </c:pt>
                      <c:pt idx="1">
                        <c:v>24.558</c:v>
                      </c:pt>
                      <c:pt idx="2">
                        <c:v>39.902000000000001</c:v>
                      </c:pt>
                      <c:pt idx="3">
                        <c:v>55.198999999999998</c:v>
                      </c:pt>
                      <c:pt idx="4">
                        <c:v>69.929000000000002</c:v>
                      </c:pt>
                      <c:pt idx="5">
                        <c:v>85.262</c:v>
                      </c:pt>
                      <c:pt idx="6">
                        <c:v>99.899000000000001</c:v>
                      </c:pt>
                      <c:pt idx="7">
                        <c:v>115.592</c:v>
                      </c:pt>
                      <c:pt idx="8">
                        <c:v>130.416</c:v>
                      </c:pt>
                      <c:pt idx="9">
                        <c:v>143.70599999999999</c:v>
                      </c:pt>
                      <c:pt idx="10">
                        <c:v>157.30699999999999</c:v>
                      </c:pt>
                      <c:pt idx="11">
                        <c:v>172.58500000000001</c:v>
                      </c:pt>
                      <c:pt idx="12">
                        <c:v>186.62200000000001</c:v>
                      </c:pt>
                      <c:pt idx="13">
                        <c:v>200.55600000000001</c:v>
                      </c:pt>
                      <c:pt idx="14">
                        <c:v>214.215</c:v>
                      </c:pt>
                      <c:pt idx="15">
                        <c:v>226.923</c:v>
                      </c:pt>
                      <c:pt idx="16">
                        <c:v>240.13200000000001</c:v>
                      </c:pt>
                      <c:pt idx="17">
                        <c:v>253.08500000000001</c:v>
                      </c:pt>
                      <c:pt idx="18">
                        <c:v>267.26400000000001</c:v>
                      </c:pt>
                      <c:pt idx="19">
                        <c:v>281.33499999999998</c:v>
                      </c:pt>
                      <c:pt idx="20">
                        <c:v>294.14800000000002</c:v>
                      </c:pt>
                      <c:pt idx="21">
                        <c:v>305.60199999999998</c:v>
                      </c:pt>
                      <c:pt idx="22">
                        <c:v>317.81</c:v>
                      </c:pt>
                      <c:pt idx="23">
                        <c:v>329.31099999999998</c:v>
                      </c:pt>
                      <c:pt idx="24">
                        <c:v>340.96499999999997</c:v>
                      </c:pt>
                      <c:pt idx="25">
                        <c:v>352.63400000000001</c:v>
                      </c:pt>
                      <c:pt idx="26">
                        <c:v>365.346</c:v>
                      </c:pt>
                      <c:pt idx="27">
                        <c:v>377.82499999999999</c:v>
                      </c:pt>
                      <c:pt idx="28">
                        <c:v>389.392</c:v>
                      </c:pt>
                      <c:pt idx="29">
                        <c:v>401.74200000000002</c:v>
                      </c:pt>
                      <c:pt idx="30">
                        <c:v>415.07</c:v>
                      </c:pt>
                      <c:pt idx="31">
                        <c:v>428.74900000000002</c:v>
                      </c:pt>
                      <c:pt idx="32">
                        <c:v>442.90499999999997</c:v>
                      </c:pt>
                      <c:pt idx="33">
                        <c:v>455.762</c:v>
                      </c:pt>
                      <c:pt idx="34">
                        <c:v>468.84300000000002</c:v>
                      </c:pt>
                      <c:pt idx="35">
                        <c:v>481.08300000000003</c:v>
                      </c:pt>
                      <c:pt idx="36">
                        <c:v>492.5</c:v>
                      </c:pt>
                      <c:pt idx="37">
                        <c:v>508.04500000000002</c:v>
                      </c:pt>
                      <c:pt idx="38">
                        <c:v>520.46299999999997</c:v>
                      </c:pt>
                      <c:pt idx="39">
                        <c:v>532.125</c:v>
                      </c:pt>
                      <c:pt idx="40">
                        <c:v>544.42999999999995</c:v>
                      </c:pt>
                      <c:pt idx="41">
                        <c:v>556.16200000000003</c:v>
                      </c:pt>
                      <c:pt idx="42">
                        <c:v>568.01199999999994</c:v>
                      </c:pt>
                      <c:pt idx="43">
                        <c:v>581.524</c:v>
                      </c:pt>
                      <c:pt idx="44">
                        <c:v>593.83900000000006</c:v>
                      </c:pt>
                      <c:pt idx="45">
                        <c:v>606.20799999999997</c:v>
                      </c:pt>
                      <c:pt idx="46">
                        <c:v>620.50800000000004</c:v>
                      </c:pt>
                      <c:pt idx="47">
                        <c:v>636.23900000000003</c:v>
                      </c:pt>
                      <c:pt idx="48">
                        <c:v>648.15</c:v>
                      </c:pt>
                      <c:pt idx="49">
                        <c:v>662.18299999999999</c:v>
                      </c:pt>
                      <c:pt idx="50">
                        <c:v>674.57500000000005</c:v>
                      </c:pt>
                      <c:pt idx="51">
                        <c:v>688.26700000000005</c:v>
                      </c:pt>
                      <c:pt idx="52">
                        <c:v>701.86699999999996</c:v>
                      </c:pt>
                      <c:pt idx="53">
                        <c:v>714.00800000000004</c:v>
                      </c:pt>
                      <c:pt idx="54">
                        <c:v>726.20799999999997</c:v>
                      </c:pt>
                      <c:pt idx="55">
                        <c:v>738.16899999999998</c:v>
                      </c:pt>
                      <c:pt idx="56">
                        <c:v>750.00900000000001</c:v>
                      </c:pt>
                      <c:pt idx="57">
                        <c:v>762.99199999999996</c:v>
                      </c:pt>
                      <c:pt idx="58">
                        <c:v>774.82500000000005</c:v>
                      </c:pt>
                      <c:pt idx="59">
                        <c:v>787.74300000000005</c:v>
                      </c:pt>
                      <c:pt idx="60">
                        <c:v>801.08199999999999</c:v>
                      </c:pt>
                      <c:pt idx="61">
                        <c:v>816.50800000000004</c:v>
                      </c:pt>
                      <c:pt idx="62">
                        <c:v>831.96900000000005</c:v>
                      </c:pt>
                      <c:pt idx="63">
                        <c:v>843.43700000000001</c:v>
                      </c:pt>
                      <c:pt idx="64">
                        <c:v>854.29</c:v>
                      </c:pt>
                      <c:pt idx="65">
                        <c:v>865.255</c:v>
                      </c:pt>
                      <c:pt idx="66">
                        <c:v>876.40200000000004</c:v>
                      </c:pt>
                      <c:pt idx="67">
                        <c:v>887.29399999999998</c:v>
                      </c:pt>
                      <c:pt idx="68">
                        <c:v>897.86599999999999</c:v>
                      </c:pt>
                      <c:pt idx="69">
                        <c:v>908.69200000000001</c:v>
                      </c:pt>
                      <c:pt idx="70">
                        <c:v>921.19500000000005</c:v>
                      </c:pt>
                      <c:pt idx="71">
                        <c:v>933.09299999999996</c:v>
                      </c:pt>
                      <c:pt idx="72">
                        <c:v>943.90800000000002</c:v>
                      </c:pt>
                      <c:pt idx="73">
                        <c:v>955.50400000000002</c:v>
                      </c:pt>
                      <c:pt idx="74">
                        <c:v>967.50300000000004</c:v>
                      </c:pt>
                      <c:pt idx="75">
                        <c:v>978.99800000000005</c:v>
                      </c:pt>
                      <c:pt idx="76">
                        <c:v>990.81100000000004</c:v>
                      </c:pt>
                      <c:pt idx="77">
                        <c:v>1003.01</c:v>
                      </c:pt>
                      <c:pt idx="78">
                        <c:v>1015.77</c:v>
                      </c:pt>
                      <c:pt idx="79">
                        <c:v>1027.2760000000001</c:v>
                      </c:pt>
                      <c:pt idx="80">
                        <c:v>1039.039</c:v>
                      </c:pt>
                      <c:pt idx="81">
                        <c:v>1050.6949999999999</c:v>
                      </c:pt>
                      <c:pt idx="82">
                        <c:v>1062.7280000000001</c:v>
                      </c:pt>
                      <c:pt idx="83">
                        <c:v>1074.258</c:v>
                      </c:pt>
                      <c:pt idx="84">
                        <c:v>1085.588</c:v>
                      </c:pt>
                      <c:pt idx="85">
                        <c:v>1097.3499999999999</c:v>
                      </c:pt>
                      <c:pt idx="86">
                        <c:v>1109.134</c:v>
                      </c:pt>
                      <c:pt idx="87">
                        <c:v>1121.229</c:v>
                      </c:pt>
                      <c:pt idx="88">
                        <c:v>1134.441</c:v>
                      </c:pt>
                      <c:pt idx="89">
                        <c:v>1146.049</c:v>
                      </c:pt>
                      <c:pt idx="90">
                        <c:v>1157.758</c:v>
                      </c:pt>
                      <c:pt idx="91">
                        <c:v>1169.1420000000001</c:v>
                      </c:pt>
                      <c:pt idx="92">
                        <c:v>1182.857</c:v>
                      </c:pt>
                      <c:pt idx="93">
                        <c:v>1195.191</c:v>
                      </c:pt>
                      <c:pt idx="94">
                        <c:v>1207.1590000000001</c:v>
                      </c:pt>
                      <c:pt idx="95">
                        <c:v>1218.4860000000001</c:v>
                      </c:pt>
                      <c:pt idx="96">
                        <c:v>1229.8789999999999</c:v>
                      </c:pt>
                      <c:pt idx="97">
                        <c:v>1241.27</c:v>
                      </c:pt>
                      <c:pt idx="98">
                        <c:v>1252.7190000000001</c:v>
                      </c:pt>
                      <c:pt idx="99">
                        <c:v>1264.1279999999999</c:v>
                      </c:pt>
                      <c:pt idx="100">
                        <c:v>1275.79</c:v>
                      </c:pt>
                      <c:pt idx="101">
                        <c:v>1287.154</c:v>
                      </c:pt>
                      <c:pt idx="102">
                        <c:v>1298.577</c:v>
                      </c:pt>
                      <c:pt idx="103">
                        <c:v>1310.5650000000001</c:v>
                      </c:pt>
                      <c:pt idx="104">
                        <c:v>1323.1959999999999</c:v>
                      </c:pt>
                      <c:pt idx="105">
                        <c:v>1337.8989999999999</c:v>
                      </c:pt>
                      <c:pt idx="106">
                        <c:v>1350.7560000000001</c:v>
                      </c:pt>
                      <c:pt idx="107">
                        <c:v>1363.3979999999999</c:v>
                      </c:pt>
                      <c:pt idx="108">
                        <c:v>1375.7850000000001</c:v>
                      </c:pt>
                      <c:pt idx="109">
                        <c:v>1388.5809999999999</c:v>
                      </c:pt>
                      <c:pt idx="110">
                        <c:v>1401.03</c:v>
                      </c:pt>
                      <c:pt idx="111">
                        <c:v>1414.3510000000001</c:v>
                      </c:pt>
                      <c:pt idx="112">
                        <c:v>1427.6690000000001</c:v>
                      </c:pt>
                      <c:pt idx="113">
                        <c:v>1441.8779999999999</c:v>
                      </c:pt>
                      <c:pt idx="114">
                        <c:v>1455.7639999999999</c:v>
                      </c:pt>
                      <c:pt idx="115">
                        <c:v>1468.7460000000001</c:v>
                      </c:pt>
                      <c:pt idx="116">
                        <c:v>1481.626</c:v>
                      </c:pt>
                      <c:pt idx="117">
                        <c:v>1494.0440000000001</c:v>
                      </c:pt>
                      <c:pt idx="118">
                        <c:v>1506.442</c:v>
                      </c:pt>
                      <c:pt idx="119">
                        <c:v>1520.722</c:v>
                      </c:pt>
                      <c:pt idx="120">
                        <c:v>1534.068</c:v>
                      </c:pt>
                      <c:pt idx="121">
                        <c:v>1547.546</c:v>
                      </c:pt>
                      <c:pt idx="122">
                        <c:v>1560.5319999999999</c:v>
                      </c:pt>
                      <c:pt idx="123">
                        <c:v>1572.51</c:v>
                      </c:pt>
                      <c:pt idx="124">
                        <c:v>1585.3</c:v>
                      </c:pt>
                      <c:pt idx="125">
                        <c:v>1598.1610000000001</c:v>
                      </c:pt>
                      <c:pt idx="126">
                        <c:v>1610.4280000000001</c:v>
                      </c:pt>
                      <c:pt idx="127">
                        <c:v>1622.376</c:v>
                      </c:pt>
                      <c:pt idx="128">
                        <c:v>1637.9670000000001</c:v>
                      </c:pt>
                      <c:pt idx="129">
                        <c:v>1649.9490000000001</c:v>
                      </c:pt>
                      <c:pt idx="130">
                        <c:v>1662.2829999999999</c:v>
                      </c:pt>
                      <c:pt idx="131">
                        <c:v>1675.7909999999999</c:v>
                      </c:pt>
                      <c:pt idx="132">
                        <c:v>1689.614</c:v>
                      </c:pt>
                      <c:pt idx="133">
                        <c:v>1703.5709999999999</c:v>
                      </c:pt>
                      <c:pt idx="134">
                        <c:v>1715.6210000000001</c:v>
                      </c:pt>
                      <c:pt idx="135">
                        <c:v>1727.798</c:v>
                      </c:pt>
                      <c:pt idx="136">
                        <c:v>1740.4449999999999</c:v>
                      </c:pt>
                      <c:pt idx="137">
                        <c:v>1753.8340000000001</c:v>
                      </c:pt>
                      <c:pt idx="138">
                        <c:v>1766.2750000000001</c:v>
                      </c:pt>
                      <c:pt idx="139">
                        <c:v>1779.3</c:v>
                      </c:pt>
                      <c:pt idx="140">
                        <c:v>1792.461</c:v>
                      </c:pt>
                      <c:pt idx="141">
                        <c:v>1804.6849999999999</c:v>
                      </c:pt>
                      <c:pt idx="142">
                        <c:v>1819.152</c:v>
                      </c:pt>
                      <c:pt idx="143">
                        <c:v>1831.8589999999999</c:v>
                      </c:pt>
                      <c:pt idx="144">
                        <c:v>1844.9590000000001</c:v>
                      </c:pt>
                      <c:pt idx="145">
                        <c:v>1857.7860000000001</c:v>
                      </c:pt>
                      <c:pt idx="146">
                        <c:v>1871.3440000000001</c:v>
                      </c:pt>
                      <c:pt idx="147">
                        <c:v>1885.373</c:v>
                      </c:pt>
                      <c:pt idx="148">
                        <c:v>1899.32</c:v>
                      </c:pt>
                      <c:pt idx="149">
                        <c:v>1913.4090000000001</c:v>
                      </c:pt>
                      <c:pt idx="150">
                        <c:v>1927.07</c:v>
                      </c:pt>
                      <c:pt idx="151">
                        <c:v>1941.4559999999999</c:v>
                      </c:pt>
                      <c:pt idx="152">
                        <c:v>1956.001</c:v>
                      </c:pt>
                      <c:pt idx="153">
                        <c:v>1970.31</c:v>
                      </c:pt>
                      <c:pt idx="154">
                        <c:v>1985.883</c:v>
                      </c:pt>
                      <c:pt idx="155">
                        <c:v>1999.1659999999999</c:v>
                      </c:pt>
                      <c:pt idx="156">
                        <c:v>2017.298</c:v>
                      </c:pt>
                      <c:pt idx="157">
                        <c:v>2030.605</c:v>
                      </c:pt>
                      <c:pt idx="158">
                        <c:v>2043.885</c:v>
                      </c:pt>
                      <c:pt idx="159">
                        <c:v>2059.0569999999998</c:v>
                      </c:pt>
                      <c:pt idx="160">
                        <c:v>2072.9470000000001</c:v>
                      </c:pt>
                      <c:pt idx="161">
                        <c:v>2086.326</c:v>
                      </c:pt>
                      <c:pt idx="162">
                        <c:v>2099.5059999999999</c:v>
                      </c:pt>
                      <c:pt idx="163">
                        <c:v>2113.9839999999999</c:v>
                      </c:pt>
                      <c:pt idx="164">
                        <c:v>2130.0419999999999</c:v>
                      </c:pt>
                      <c:pt idx="165">
                        <c:v>2144.587</c:v>
                      </c:pt>
                      <c:pt idx="166">
                        <c:v>2156.8649999999998</c:v>
                      </c:pt>
                      <c:pt idx="167">
                        <c:v>2169.6880000000001</c:v>
                      </c:pt>
                      <c:pt idx="168">
                        <c:v>2183.636</c:v>
                      </c:pt>
                      <c:pt idx="169">
                        <c:v>2196.1410000000001</c:v>
                      </c:pt>
                      <c:pt idx="170">
                        <c:v>2209.9059999999999</c:v>
                      </c:pt>
                      <c:pt idx="171">
                        <c:v>2222.2530000000002</c:v>
                      </c:pt>
                      <c:pt idx="172">
                        <c:v>2235.009</c:v>
                      </c:pt>
                      <c:pt idx="173">
                        <c:v>2248.944</c:v>
                      </c:pt>
                      <c:pt idx="174">
                        <c:v>2262.8020000000001</c:v>
                      </c:pt>
                      <c:pt idx="175">
                        <c:v>2275.34</c:v>
                      </c:pt>
                      <c:pt idx="176">
                        <c:v>2287.5140000000001</c:v>
                      </c:pt>
                      <c:pt idx="177">
                        <c:v>2299.5259999999998</c:v>
                      </c:pt>
                      <c:pt idx="178">
                        <c:v>2311.4850000000001</c:v>
                      </c:pt>
                      <c:pt idx="179">
                        <c:v>2323.509</c:v>
                      </c:pt>
                      <c:pt idx="180">
                        <c:v>2335.5059999999999</c:v>
                      </c:pt>
                      <c:pt idx="181">
                        <c:v>2347.5450000000001</c:v>
                      </c:pt>
                      <c:pt idx="182">
                        <c:v>2359.6280000000002</c:v>
                      </c:pt>
                      <c:pt idx="183">
                        <c:v>2372.9279999999999</c:v>
                      </c:pt>
                      <c:pt idx="184">
                        <c:v>2385</c:v>
                      </c:pt>
                      <c:pt idx="185">
                        <c:v>2399.4389999999999</c:v>
                      </c:pt>
                      <c:pt idx="186">
                        <c:v>2413.3229999999999</c:v>
                      </c:pt>
                      <c:pt idx="187">
                        <c:v>2425.6469999999999</c:v>
                      </c:pt>
                      <c:pt idx="188">
                        <c:v>2443.2640000000001</c:v>
                      </c:pt>
                      <c:pt idx="189">
                        <c:v>2457.7890000000002</c:v>
                      </c:pt>
                      <c:pt idx="190">
                        <c:v>2469.3389999999999</c:v>
                      </c:pt>
                      <c:pt idx="191">
                        <c:v>2481.2489999999998</c:v>
                      </c:pt>
                      <c:pt idx="192">
                        <c:v>2494.306</c:v>
                      </c:pt>
                      <c:pt idx="193">
                        <c:v>2505.7710000000002</c:v>
                      </c:pt>
                      <c:pt idx="194">
                        <c:v>2518.732</c:v>
                      </c:pt>
                      <c:pt idx="195">
                        <c:v>2530.16</c:v>
                      </c:pt>
                      <c:pt idx="196">
                        <c:v>2542.6289999999999</c:v>
                      </c:pt>
                      <c:pt idx="197">
                        <c:v>2554.3560000000002</c:v>
                      </c:pt>
                      <c:pt idx="198">
                        <c:v>2565.8310000000001</c:v>
                      </c:pt>
                      <c:pt idx="199">
                        <c:v>2577.337</c:v>
                      </c:pt>
                      <c:pt idx="200">
                        <c:v>2589.069</c:v>
                      </c:pt>
                      <c:pt idx="201">
                        <c:v>2601.34</c:v>
                      </c:pt>
                      <c:pt idx="202">
                        <c:v>2613.8609999999999</c:v>
                      </c:pt>
                      <c:pt idx="203">
                        <c:v>2625.6590000000001</c:v>
                      </c:pt>
                      <c:pt idx="204">
                        <c:v>2637.3670000000002</c:v>
                      </c:pt>
                      <c:pt idx="205">
                        <c:v>2650.8020000000001</c:v>
                      </c:pt>
                      <c:pt idx="206">
                        <c:v>2662.5039999999999</c:v>
                      </c:pt>
                      <c:pt idx="207">
                        <c:v>2673.8919999999998</c:v>
                      </c:pt>
                      <c:pt idx="208">
                        <c:v>2686.569</c:v>
                      </c:pt>
                      <c:pt idx="209">
                        <c:v>2698.5729999999999</c:v>
                      </c:pt>
                      <c:pt idx="210">
                        <c:v>2711.8690000000001</c:v>
                      </c:pt>
                      <c:pt idx="211">
                        <c:v>2725.018</c:v>
                      </c:pt>
                      <c:pt idx="212">
                        <c:v>2739.241</c:v>
                      </c:pt>
                      <c:pt idx="213">
                        <c:v>2752.4520000000002</c:v>
                      </c:pt>
                      <c:pt idx="214">
                        <c:v>2764.9960000000001</c:v>
                      </c:pt>
                      <c:pt idx="215">
                        <c:v>2777.462</c:v>
                      </c:pt>
                      <c:pt idx="216">
                        <c:v>2790.1030000000001</c:v>
                      </c:pt>
                      <c:pt idx="217">
                        <c:v>2803.3890000000001</c:v>
                      </c:pt>
                      <c:pt idx="218">
                        <c:v>2816.3130000000001</c:v>
                      </c:pt>
                      <c:pt idx="219">
                        <c:v>2829.52</c:v>
                      </c:pt>
                      <c:pt idx="220">
                        <c:v>2842.8290000000002</c:v>
                      </c:pt>
                      <c:pt idx="221">
                        <c:v>2857.2</c:v>
                      </c:pt>
                      <c:pt idx="222">
                        <c:v>2868.5810000000001</c:v>
                      </c:pt>
                      <c:pt idx="223">
                        <c:v>2880.3220000000001</c:v>
                      </c:pt>
                      <c:pt idx="224">
                        <c:v>2892.03</c:v>
                      </c:pt>
                      <c:pt idx="225">
                        <c:v>2903.855</c:v>
                      </c:pt>
                      <c:pt idx="226">
                        <c:v>2915.3229999999999</c:v>
                      </c:pt>
                      <c:pt idx="227">
                        <c:v>2926.855</c:v>
                      </c:pt>
                      <c:pt idx="228">
                        <c:v>2942.5450000000001</c:v>
                      </c:pt>
                      <c:pt idx="229">
                        <c:v>2954.451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Data!$AS$130:$AS$200</c15:sqref>
                        </c15:formulaRef>
                      </c:ext>
                    </c:extLst>
                    <c:numCache>
                      <c:formatCode>0.000</c:formatCode>
                      <c:ptCount val="71"/>
                      <c:pt idx="0">
                        <c:v>1.0294615645106671</c:v>
                      </c:pt>
                      <c:pt idx="1">
                        <c:v>1.0667118184896716</c:v>
                      </c:pt>
                      <c:pt idx="2">
                        <c:v>1.0667118184896716</c:v>
                      </c:pt>
                      <c:pt idx="3">
                        <c:v>1.0734845919403995</c:v>
                      </c:pt>
                      <c:pt idx="4">
                        <c:v>1.0768709786657635</c:v>
                      </c:pt>
                      <c:pt idx="5">
                        <c:v>1.0802573653911276</c:v>
                      </c:pt>
                      <c:pt idx="6">
                        <c:v>1.0836437521164917</c:v>
                      </c:pt>
                      <c:pt idx="7">
                        <c:v>1.0870301388418557</c:v>
                      </c:pt>
                      <c:pt idx="8">
                        <c:v>1.0904165255672198</c:v>
                      </c:pt>
                      <c:pt idx="9">
                        <c:v>1.0904165255672198</c:v>
                      </c:pt>
                      <c:pt idx="10">
                        <c:v>1.0971892990179477</c:v>
                      </c:pt>
                      <c:pt idx="11">
                        <c:v>1.0971892990179477</c:v>
                      </c:pt>
                      <c:pt idx="12">
                        <c:v>1.1005756857433118</c:v>
                      </c:pt>
                      <c:pt idx="13">
                        <c:v>1.0870301388418557</c:v>
                      </c:pt>
                      <c:pt idx="14">
                        <c:v>1.0193024043345749</c:v>
                      </c:pt>
                      <c:pt idx="15">
                        <c:v>0.9448018963765662</c:v>
                      </c:pt>
                      <c:pt idx="16">
                        <c:v>0.83305113443955292</c:v>
                      </c:pt>
                      <c:pt idx="17">
                        <c:v>0.71452759905181173</c:v>
                      </c:pt>
                      <c:pt idx="18">
                        <c:v>0.58923129021334231</c:v>
                      </c:pt>
                      <c:pt idx="19">
                        <c:v>0.46732136810023706</c:v>
                      </c:pt>
                      <c:pt idx="20">
                        <c:v>0.34541144598713169</c:v>
                      </c:pt>
                      <c:pt idx="21">
                        <c:v>0.22688791059939045</c:v>
                      </c:pt>
                      <c:pt idx="22">
                        <c:v>0.11513714866237724</c:v>
                      </c:pt>
                      <c:pt idx="23">
                        <c:v>4.4023027429732471E-2</c:v>
                      </c:pt>
                      <c:pt idx="24">
                        <c:v>3.0477480528276327E-2</c:v>
                      </c:pt>
                      <c:pt idx="25">
                        <c:v>4.4023027429732471E-2</c:v>
                      </c:pt>
                      <c:pt idx="26">
                        <c:v>5.7568574331188622E-2</c:v>
                      </c:pt>
                      <c:pt idx="27">
                        <c:v>6.0954961056552653E-2</c:v>
                      </c:pt>
                      <c:pt idx="28">
                        <c:v>5.0795800880460547E-2</c:v>
                      </c:pt>
                      <c:pt idx="29">
                        <c:v>3.7250253979004402E-2</c:v>
                      </c:pt>
                      <c:pt idx="30">
                        <c:v>2.3704707077548254E-2</c:v>
                      </c:pt>
                      <c:pt idx="31">
                        <c:v>6.7727734507280731E-3</c:v>
                      </c:pt>
                      <c:pt idx="32">
                        <c:v>-6.7727734507280731E-3</c:v>
                      </c:pt>
                      <c:pt idx="33">
                        <c:v>-1.6931933626820182E-2</c:v>
                      </c:pt>
                      <c:pt idx="34">
                        <c:v>-3.0477480528276327E-2</c:v>
                      </c:pt>
                      <c:pt idx="35">
                        <c:v>-4.063664070436844E-2</c:v>
                      </c:pt>
                      <c:pt idx="36">
                        <c:v>-5.4182187605824585E-2</c:v>
                      </c:pt>
                      <c:pt idx="37">
                        <c:v>-5.7568574331188622E-2</c:v>
                      </c:pt>
                      <c:pt idx="38">
                        <c:v>-5.7568574331188622E-2</c:v>
                      </c:pt>
                      <c:pt idx="39">
                        <c:v>-5.4182187605824585E-2</c:v>
                      </c:pt>
                      <c:pt idx="40">
                        <c:v>-4.063664070436844E-2</c:v>
                      </c:pt>
                      <c:pt idx="41">
                        <c:v>-3.0477480528276327E-2</c:v>
                      </c:pt>
                      <c:pt idx="42">
                        <c:v>-1.6931933626820182E-2</c:v>
                      </c:pt>
                      <c:pt idx="43">
                        <c:v>-6.7727734507280731E-3</c:v>
                      </c:pt>
                      <c:pt idx="44">
                        <c:v>6.7727734507280731E-3</c:v>
                      </c:pt>
                      <c:pt idx="45">
                        <c:v>1.6931933626820182E-2</c:v>
                      </c:pt>
                      <c:pt idx="46">
                        <c:v>2.3704707077548254E-2</c:v>
                      </c:pt>
                      <c:pt idx="47">
                        <c:v>3.3863867253640365E-2</c:v>
                      </c:pt>
                      <c:pt idx="48">
                        <c:v>4.063664070436844E-2</c:v>
                      </c:pt>
                      <c:pt idx="49">
                        <c:v>4.4023027429732471E-2</c:v>
                      </c:pt>
                      <c:pt idx="50">
                        <c:v>4.4023027429732471E-2</c:v>
                      </c:pt>
                      <c:pt idx="51">
                        <c:v>4.063664070436844E-2</c:v>
                      </c:pt>
                      <c:pt idx="52">
                        <c:v>3.7250253979004402E-2</c:v>
                      </c:pt>
                      <c:pt idx="53">
                        <c:v>3.0477480528276327E-2</c:v>
                      </c:pt>
                      <c:pt idx="54">
                        <c:v>2.031832035218422E-2</c:v>
                      </c:pt>
                      <c:pt idx="55">
                        <c:v>1.015916017609211E-2</c:v>
                      </c:pt>
                      <c:pt idx="56">
                        <c:v>0</c:v>
                      </c:pt>
                      <c:pt idx="57">
                        <c:v>-1.015916017609211E-2</c:v>
                      </c:pt>
                      <c:pt idx="58">
                        <c:v>-1.6931933626820182E-2</c:v>
                      </c:pt>
                      <c:pt idx="59">
                        <c:v>-2.3704707077548254E-2</c:v>
                      </c:pt>
                      <c:pt idx="60">
                        <c:v>-3.3863867253640365E-2</c:v>
                      </c:pt>
                      <c:pt idx="61">
                        <c:v>-3.7250253979004402E-2</c:v>
                      </c:pt>
                      <c:pt idx="62">
                        <c:v>-4.063664070436844E-2</c:v>
                      </c:pt>
                      <c:pt idx="63">
                        <c:v>-4.063664070436844E-2</c:v>
                      </c:pt>
                      <c:pt idx="64">
                        <c:v>-3.7250253979004402E-2</c:v>
                      </c:pt>
                      <c:pt idx="65">
                        <c:v>-3.3863867253640365E-2</c:v>
                      </c:pt>
                      <c:pt idx="66">
                        <c:v>-2.7091093802912292E-2</c:v>
                      </c:pt>
                      <c:pt idx="67">
                        <c:v>-1.6931933626820182E-2</c:v>
                      </c:pt>
                      <c:pt idx="68">
                        <c:v>-6.7727734507280731E-3</c:v>
                      </c:pt>
                      <c:pt idx="69">
                        <c:v>0</c:v>
                      </c:pt>
                      <c:pt idx="70">
                        <c:v>6.7727734507280731E-3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CA6-4EE4-8614-46B83DB8F3AD}"/>
                  </c:ext>
                </c:extLst>
              </c15:ser>
            </c15:filteredLineSeries>
            <c15:filteredLineSeries>
              <c15:ser>
                <c:idx val="12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Data!$AT$1</c15:sqref>
                        </c15:formulaRef>
                      </c:ext>
                    </c:extLst>
                    <c:strCache>
                      <c:ptCount val="1"/>
                      <c:pt idx="0">
                        <c:v>Err Speed Avg</c:v>
                      </c:pt>
                    </c:strCache>
                  </c:strRef>
                </c:tx>
                <c:spPr>
                  <a:ln w="2222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Data!$S$2:$S$1578</c15:sqref>
                        </c15:formulaRef>
                      </c:ext>
                    </c:extLst>
                    <c:numCache>
                      <c:formatCode>#,##0</c:formatCode>
                      <c:ptCount val="1577"/>
                      <c:pt idx="0" formatCode="General">
                        <c:v>9.4789999999999992</c:v>
                      </c:pt>
                      <c:pt idx="1">
                        <c:v>24.558</c:v>
                      </c:pt>
                      <c:pt idx="2">
                        <c:v>39.902000000000001</c:v>
                      </c:pt>
                      <c:pt idx="3">
                        <c:v>55.198999999999998</c:v>
                      </c:pt>
                      <c:pt idx="4">
                        <c:v>69.929000000000002</c:v>
                      </c:pt>
                      <c:pt idx="5">
                        <c:v>85.262</c:v>
                      </c:pt>
                      <c:pt idx="6">
                        <c:v>99.899000000000001</c:v>
                      </c:pt>
                      <c:pt idx="7">
                        <c:v>115.592</c:v>
                      </c:pt>
                      <c:pt idx="8">
                        <c:v>130.416</c:v>
                      </c:pt>
                      <c:pt idx="9">
                        <c:v>143.70599999999999</c:v>
                      </c:pt>
                      <c:pt idx="10">
                        <c:v>157.30699999999999</c:v>
                      </c:pt>
                      <c:pt idx="11">
                        <c:v>172.58500000000001</c:v>
                      </c:pt>
                      <c:pt idx="12">
                        <c:v>186.62200000000001</c:v>
                      </c:pt>
                      <c:pt idx="13">
                        <c:v>200.55600000000001</c:v>
                      </c:pt>
                      <c:pt idx="14">
                        <c:v>214.215</c:v>
                      </c:pt>
                      <c:pt idx="15">
                        <c:v>226.923</c:v>
                      </c:pt>
                      <c:pt idx="16">
                        <c:v>240.13200000000001</c:v>
                      </c:pt>
                      <c:pt idx="17">
                        <c:v>253.08500000000001</c:v>
                      </c:pt>
                      <c:pt idx="18">
                        <c:v>267.26400000000001</c:v>
                      </c:pt>
                      <c:pt idx="19">
                        <c:v>281.33499999999998</c:v>
                      </c:pt>
                      <c:pt idx="20">
                        <c:v>294.14800000000002</c:v>
                      </c:pt>
                      <c:pt idx="21">
                        <c:v>305.60199999999998</c:v>
                      </c:pt>
                      <c:pt idx="22">
                        <c:v>317.81</c:v>
                      </c:pt>
                      <c:pt idx="23">
                        <c:v>329.31099999999998</c:v>
                      </c:pt>
                      <c:pt idx="24">
                        <c:v>340.96499999999997</c:v>
                      </c:pt>
                      <c:pt idx="25">
                        <c:v>352.63400000000001</c:v>
                      </c:pt>
                      <c:pt idx="26">
                        <c:v>365.346</c:v>
                      </c:pt>
                      <c:pt idx="27">
                        <c:v>377.82499999999999</c:v>
                      </c:pt>
                      <c:pt idx="28">
                        <c:v>389.392</c:v>
                      </c:pt>
                      <c:pt idx="29">
                        <c:v>401.74200000000002</c:v>
                      </c:pt>
                      <c:pt idx="30">
                        <c:v>415.07</c:v>
                      </c:pt>
                      <c:pt idx="31">
                        <c:v>428.74900000000002</c:v>
                      </c:pt>
                      <c:pt idx="32">
                        <c:v>442.90499999999997</c:v>
                      </c:pt>
                      <c:pt idx="33">
                        <c:v>455.762</c:v>
                      </c:pt>
                      <c:pt idx="34">
                        <c:v>468.84300000000002</c:v>
                      </c:pt>
                      <c:pt idx="35">
                        <c:v>481.08300000000003</c:v>
                      </c:pt>
                      <c:pt idx="36">
                        <c:v>492.5</c:v>
                      </c:pt>
                      <c:pt idx="37">
                        <c:v>508.04500000000002</c:v>
                      </c:pt>
                      <c:pt idx="38">
                        <c:v>520.46299999999997</c:v>
                      </c:pt>
                      <c:pt idx="39">
                        <c:v>532.125</c:v>
                      </c:pt>
                      <c:pt idx="40">
                        <c:v>544.42999999999995</c:v>
                      </c:pt>
                      <c:pt idx="41">
                        <c:v>556.16200000000003</c:v>
                      </c:pt>
                      <c:pt idx="42">
                        <c:v>568.01199999999994</c:v>
                      </c:pt>
                      <c:pt idx="43">
                        <c:v>581.524</c:v>
                      </c:pt>
                      <c:pt idx="44">
                        <c:v>593.83900000000006</c:v>
                      </c:pt>
                      <c:pt idx="45">
                        <c:v>606.20799999999997</c:v>
                      </c:pt>
                      <c:pt idx="46">
                        <c:v>620.50800000000004</c:v>
                      </c:pt>
                      <c:pt idx="47">
                        <c:v>636.23900000000003</c:v>
                      </c:pt>
                      <c:pt idx="48">
                        <c:v>648.15</c:v>
                      </c:pt>
                      <c:pt idx="49">
                        <c:v>662.18299999999999</c:v>
                      </c:pt>
                      <c:pt idx="50">
                        <c:v>674.57500000000005</c:v>
                      </c:pt>
                      <c:pt idx="51">
                        <c:v>688.26700000000005</c:v>
                      </c:pt>
                      <c:pt idx="52">
                        <c:v>701.86699999999996</c:v>
                      </c:pt>
                      <c:pt idx="53">
                        <c:v>714.00800000000004</c:v>
                      </c:pt>
                      <c:pt idx="54">
                        <c:v>726.20799999999997</c:v>
                      </c:pt>
                      <c:pt idx="55">
                        <c:v>738.16899999999998</c:v>
                      </c:pt>
                      <c:pt idx="56">
                        <c:v>750.00900000000001</c:v>
                      </c:pt>
                      <c:pt idx="57">
                        <c:v>762.99199999999996</c:v>
                      </c:pt>
                      <c:pt idx="58">
                        <c:v>774.82500000000005</c:v>
                      </c:pt>
                      <c:pt idx="59">
                        <c:v>787.74300000000005</c:v>
                      </c:pt>
                      <c:pt idx="60">
                        <c:v>801.08199999999999</c:v>
                      </c:pt>
                      <c:pt idx="61">
                        <c:v>816.50800000000004</c:v>
                      </c:pt>
                      <c:pt idx="62">
                        <c:v>831.96900000000005</c:v>
                      </c:pt>
                      <c:pt idx="63">
                        <c:v>843.43700000000001</c:v>
                      </c:pt>
                      <c:pt idx="64">
                        <c:v>854.29</c:v>
                      </c:pt>
                      <c:pt idx="65">
                        <c:v>865.255</c:v>
                      </c:pt>
                      <c:pt idx="66">
                        <c:v>876.40200000000004</c:v>
                      </c:pt>
                      <c:pt idx="67">
                        <c:v>887.29399999999998</c:v>
                      </c:pt>
                      <c:pt idx="68">
                        <c:v>897.86599999999999</c:v>
                      </c:pt>
                      <c:pt idx="69">
                        <c:v>908.69200000000001</c:v>
                      </c:pt>
                      <c:pt idx="70">
                        <c:v>921.19500000000005</c:v>
                      </c:pt>
                      <c:pt idx="71">
                        <c:v>933.09299999999996</c:v>
                      </c:pt>
                      <c:pt idx="72">
                        <c:v>943.90800000000002</c:v>
                      </c:pt>
                      <c:pt idx="73">
                        <c:v>955.50400000000002</c:v>
                      </c:pt>
                      <c:pt idx="74">
                        <c:v>967.50300000000004</c:v>
                      </c:pt>
                      <c:pt idx="75">
                        <c:v>978.99800000000005</c:v>
                      </c:pt>
                      <c:pt idx="76">
                        <c:v>990.81100000000004</c:v>
                      </c:pt>
                      <c:pt idx="77">
                        <c:v>1003.01</c:v>
                      </c:pt>
                      <c:pt idx="78">
                        <c:v>1015.77</c:v>
                      </c:pt>
                      <c:pt idx="79">
                        <c:v>1027.2760000000001</c:v>
                      </c:pt>
                      <c:pt idx="80">
                        <c:v>1039.039</c:v>
                      </c:pt>
                      <c:pt idx="81">
                        <c:v>1050.6949999999999</c:v>
                      </c:pt>
                      <c:pt idx="82">
                        <c:v>1062.7280000000001</c:v>
                      </c:pt>
                      <c:pt idx="83">
                        <c:v>1074.258</c:v>
                      </c:pt>
                      <c:pt idx="84">
                        <c:v>1085.588</c:v>
                      </c:pt>
                      <c:pt idx="85">
                        <c:v>1097.3499999999999</c:v>
                      </c:pt>
                      <c:pt idx="86">
                        <c:v>1109.134</c:v>
                      </c:pt>
                      <c:pt idx="87">
                        <c:v>1121.229</c:v>
                      </c:pt>
                      <c:pt idx="88">
                        <c:v>1134.441</c:v>
                      </c:pt>
                      <c:pt idx="89">
                        <c:v>1146.049</c:v>
                      </c:pt>
                      <c:pt idx="90">
                        <c:v>1157.758</c:v>
                      </c:pt>
                      <c:pt idx="91">
                        <c:v>1169.1420000000001</c:v>
                      </c:pt>
                      <c:pt idx="92">
                        <c:v>1182.857</c:v>
                      </c:pt>
                      <c:pt idx="93">
                        <c:v>1195.191</c:v>
                      </c:pt>
                      <c:pt idx="94">
                        <c:v>1207.1590000000001</c:v>
                      </c:pt>
                      <c:pt idx="95">
                        <c:v>1218.4860000000001</c:v>
                      </c:pt>
                      <c:pt idx="96">
                        <c:v>1229.8789999999999</c:v>
                      </c:pt>
                      <c:pt idx="97">
                        <c:v>1241.27</c:v>
                      </c:pt>
                      <c:pt idx="98">
                        <c:v>1252.7190000000001</c:v>
                      </c:pt>
                      <c:pt idx="99">
                        <c:v>1264.1279999999999</c:v>
                      </c:pt>
                      <c:pt idx="100">
                        <c:v>1275.79</c:v>
                      </c:pt>
                      <c:pt idx="101">
                        <c:v>1287.154</c:v>
                      </c:pt>
                      <c:pt idx="102">
                        <c:v>1298.577</c:v>
                      </c:pt>
                      <c:pt idx="103">
                        <c:v>1310.5650000000001</c:v>
                      </c:pt>
                      <c:pt idx="104">
                        <c:v>1323.1959999999999</c:v>
                      </c:pt>
                      <c:pt idx="105">
                        <c:v>1337.8989999999999</c:v>
                      </c:pt>
                      <c:pt idx="106">
                        <c:v>1350.7560000000001</c:v>
                      </c:pt>
                      <c:pt idx="107">
                        <c:v>1363.3979999999999</c:v>
                      </c:pt>
                      <c:pt idx="108">
                        <c:v>1375.7850000000001</c:v>
                      </c:pt>
                      <c:pt idx="109">
                        <c:v>1388.5809999999999</c:v>
                      </c:pt>
                      <c:pt idx="110">
                        <c:v>1401.03</c:v>
                      </c:pt>
                      <c:pt idx="111">
                        <c:v>1414.3510000000001</c:v>
                      </c:pt>
                      <c:pt idx="112">
                        <c:v>1427.6690000000001</c:v>
                      </c:pt>
                      <c:pt idx="113">
                        <c:v>1441.8779999999999</c:v>
                      </c:pt>
                      <c:pt idx="114">
                        <c:v>1455.7639999999999</c:v>
                      </c:pt>
                      <c:pt idx="115">
                        <c:v>1468.7460000000001</c:v>
                      </c:pt>
                      <c:pt idx="116">
                        <c:v>1481.626</c:v>
                      </c:pt>
                      <c:pt idx="117">
                        <c:v>1494.0440000000001</c:v>
                      </c:pt>
                      <c:pt idx="118">
                        <c:v>1506.442</c:v>
                      </c:pt>
                      <c:pt idx="119">
                        <c:v>1520.722</c:v>
                      </c:pt>
                      <c:pt idx="120">
                        <c:v>1534.068</c:v>
                      </c:pt>
                      <c:pt idx="121">
                        <c:v>1547.546</c:v>
                      </c:pt>
                      <c:pt idx="122">
                        <c:v>1560.5319999999999</c:v>
                      </c:pt>
                      <c:pt idx="123">
                        <c:v>1572.51</c:v>
                      </c:pt>
                      <c:pt idx="124">
                        <c:v>1585.3</c:v>
                      </c:pt>
                      <c:pt idx="125">
                        <c:v>1598.1610000000001</c:v>
                      </c:pt>
                      <c:pt idx="126">
                        <c:v>1610.4280000000001</c:v>
                      </c:pt>
                      <c:pt idx="127">
                        <c:v>1622.376</c:v>
                      </c:pt>
                      <c:pt idx="128">
                        <c:v>1637.9670000000001</c:v>
                      </c:pt>
                      <c:pt idx="129">
                        <c:v>1649.9490000000001</c:v>
                      </c:pt>
                      <c:pt idx="130">
                        <c:v>1662.2829999999999</c:v>
                      </c:pt>
                      <c:pt idx="131">
                        <c:v>1675.7909999999999</c:v>
                      </c:pt>
                      <c:pt idx="132">
                        <c:v>1689.614</c:v>
                      </c:pt>
                      <c:pt idx="133">
                        <c:v>1703.5709999999999</c:v>
                      </c:pt>
                      <c:pt idx="134">
                        <c:v>1715.6210000000001</c:v>
                      </c:pt>
                      <c:pt idx="135">
                        <c:v>1727.798</c:v>
                      </c:pt>
                      <c:pt idx="136">
                        <c:v>1740.4449999999999</c:v>
                      </c:pt>
                      <c:pt idx="137">
                        <c:v>1753.8340000000001</c:v>
                      </c:pt>
                      <c:pt idx="138">
                        <c:v>1766.2750000000001</c:v>
                      </c:pt>
                      <c:pt idx="139">
                        <c:v>1779.3</c:v>
                      </c:pt>
                      <c:pt idx="140">
                        <c:v>1792.461</c:v>
                      </c:pt>
                      <c:pt idx="141">
                        <c:v>1804.6849999999999</c:v>
                      </c:pt>
                      <c:pt idx="142">
                        <c:v>1819.152</c:v>
                      </c:pt>
                      <c:pt idx="143">
                        <c:v>1831.8589999999999</c:v>
                      </c:pt>
                      <c:pt idx="144">
                        <c:v>1844.9590000000001</c:v>
                      </c:pt>
                      <c:pt idx="145">
                        <c:v>1857.7860000000001</c:v>
                      </c:pt>
                      <c:pt idx="146">
                        <c:v>1871.3440000000001</c:v>
                      </c:pt>
                      <c:pt idx="147">
                        <c:v>1885.373</c:v>
                      </c:pt>
                      <c:pt idx="148">
                        <c:v>1899.32</c:v>
                      </c:pt>
                      <c:pt idx="149">
                        <c:v>1913.4090000000001</c:v>
                      </c:pt>
                      <c:pt idx="150">
                        <c:v>1927.07</c:v>
                      </c:pt>
                      <c:pt idx="151">
                        <c:v>1941.4559999999999</c:v>
                      </c:pt>
                      <c:pt idx="152">
                        <c:v>1956.001</c:v>
                      </c:pt>
                      <c:pt idx="153">
                        <c:v>1970.31</c:v>
                      </c:pt>
                      <c:pt idx="154">
                        <c:v>1985.883</c:v>
                      </c:pt>
                      <c:pt idx="155">
                        <c:v>1999.1659999999999</c:v>
                      </c:pt>
                      <c:pt idx="156">
                        <c:v>2017.298</c:v>
                      </c:pt>
                      <c:pt idx="157">
                        <c:v>2030.605</c:v>
                      </c:pt>
                      <c:pt idx="158">
                        <c:v>2043.885</c:v>
                      </c:pt>
                      <c:pt idx="159">
                        <c:v>2059.0569999999998</c:v>
                      </c:pt>
                      <c:pt idx="160">
                        <c:v>2072.9470000000001</c:v>
                      </c:pt>
                      <c:pt idx="161">
                        <c:v>2086.326</c:v>
                      </c:pt>
                      <c:pt idx="162">
                        <c:v>2099.5059999999999</c:v>
                      </c:pt>
                      <c:pt idx="163">
                        <c:v>2113.9839999999999</c:v>
                      </c:pt>
                      <c:pt idx="164">
                        <c:v>2130.0419999999999</c:v>
                      </c:pt>
                      <c:pt idx="165">
                        <c:v>2144.587</c:v>
                      </c:pt>
                      <c:pt idx="166">
                        <c:v>2156.8649999999998</c:v>
                      </c:pt>
                      <c:pt idx="167">
                        <c:v>2169.6880000000001</c:v>
                      </c:pt>
                      <c:pt idx="168">
                        <c:v>2183.636</c:v>
                      </c:pt>
                      <c:pt idx="169">
                        <c:v>2196.1410000000001</c:v>
                      </c:pt>
                      <c:pt idx="170">
                        <c:v>2209.9059999999999</c:v>
                      </c:pt>
                      <c:pt idx="171">
                        <c:v>2222.2530000000002</c:v>
                      </c:pt>
                      <c:pt idx="172">
                        <c:v>2235.009</c:v>
                      </c:pt>
                      <c:pt idx="173">
                        <c:v>2248.944</c:v>
                      </c:pt>
                      <c:pt idx="174">
                        <c:v>2262.8020000000001</c:v>
                      </c:pt>
                      <c:pt idx="175">
                        <c:v>2275.34</c:v>
                      </c:pt>
                      <c:pt idx="176">
                        <c:v>2287.5140000000001</c:v>
                      </c:pt>
                      <c:pt idx="177">
                        <c:v>2299.5259999999998</c:v>
                      </c:pt>
                      <c:pt idx="178">
                        <c:v>2311.4850000000001</c:v>
                      </c:pt>
                      <c:pt idx="179">
                        <c:v>2323.509</c:v>
                      </c:pt>
                      <c:pt idx="180">
                        <c:v>2335.5059999999999</c:v>
                      </c:pt>
                      <c:pt idx="181">
                        <c:v>2347.5450000000001</c:v>
                      </c:pt>
                      <c:pt idx="182">
                        <c:v>2359.6280000000002</c:v>
                      </c:pt>
                      <c:pt idx="183">
                        <c:v>2372.9279999999999</c:v>
                      </c:pt>
                      <c:pt idx="184">
                        <c:v>2385</c:v>
                      </c:pt>
                      <c:pt idx="185">
                        <c:v>2399.4389999999999</c:v>
                      </c:pt>
                      <c:pt idx="186">
                        <c:v>2413.3229999999999</c:v>
                      </c:pt>
                      <c:pt idx="187">
                        <c:v>2425.6469999999999</c:v>
                      </c:pt>
                      <c:pt idx="188">
                        <c:v>2443.2640000000001</c:v>
                      </c:pt>
                      <c:pt idx="189">
                        <c:v>2457.7890000000002</c:v>
                      </c:pt>
                      <c:pt idx="190">
                        <c:v>2469.3389999999999</c:v>
                      </c:pt>
                      <c:pt idx="191">
                        <c:v>2481.2489999999998</c:v>
                      </c:pt>
                      <c:pt idx="192">
                        <c:v>2494.306</c:v>
                      </c:pt>
                      <c:pt idx="193">
                        <c:v>2505.7710000000002</c:v>
                      </c:pt>
                      <c:pt idx="194">
                        <c:v>2518.732</c:v>
                      </c:pt>
                      <c:pt idx="195">
                        <c:v>2530.16</c:v>
                      </c:pt>
                      <c:pt idx="196">
                        <c:v>2542.6289999999999</c:v>
                      </c:pt>
                      <c:pt idx="197">
                        <c:v>2554.3560000000002</c:v>
                      </c:pt>
                      <c:pt idx="198">
                        <c:v>2565.8310000000001</c:v>
                      </c:pt>
                      <c:pt idx="199">
                        <c:v>2577.337</c:v>
                      </c:pt>
                      <c:pt idx="200">
                        <c:v>2589.069</c:v>
                      </c:pt>
                      <c:pt idx="201">
                        <c:v>2601.34</c:v>
                      </c:pt>
                      <c:pt idx="202">
                        <c:v>2613.8609999999999</c:v>
                      </c:pt>
                      <c:pt idx="203">
                        <c:v>2625.6590000000001</c:v>
                      </c:pt>
                      <c:pt idx="204">
                        <c:v>2637.3670000000002</c:v>
                      </c:pt>
                      <c:pt idx="205">
                        <c:v>2650.8020000000001</c:v>
                      </c:pt>
                      <c:pt idx="206">
                        <c:v>2662.5039999999999</c:v>
                      </c:pt>
                      <c:pt idx="207">
                        <c:v>2673.8919999999998</c:v>
                      </c:pt>
                      <c:pt idx="208">
                        <c:v>2686.569</c:v>
                      </c:pt>
                      <c:pt idx="209">
                        <c:v>2698.5729999999999</c:v>
                      </c:pt>
                      <c:pt idx="210">
                        <c:v>2711.8690000000001</c:v>
                      </c:pt>
                      <c:pt idx="211">
                        <c:v>2725.018</c:v>
                      </c:pt>
                      <c:pt idx="212">
                        <c:v>2739.241</c:v>
                      </c:pt>
                      <c:pt idx="213">
                        <c:v>2752.4520000000002</c:v>
                      </c:pt>
                      <c:pt idx="214">
                        <c:v>2764.9960000000001</c:v>
                      </c:pt>
                      <c:pt idx="215">
                        <c:v>2777.462</c:v>
                      </c:pt>
                      <c:pt idx="216">
                        <c:v>2790.1030000000001</c:v>
                      </c:pt>
                      <c:pt idx="217">
                        <c:v>2803.3890000000001</c:v>
                      </c:pt>
                      <c:pt idx="218">
                        <c:v>2816.3130000000001</c:v>
                      </c:pt>
                      <c:pt idx="219">
                        <c:v>2829.52</c:v>
                      </c:pt>
                      <c:pt idx="220">
                        <c:v>2842.8290000000002</c:v>
                      </c:pt>
                      <c:pt idx="221">
                        <c:v>2857.2</c:v>
                      </c:pt>
                      <c:pt idx="222">
                        <c:v>2868.5810000000001</c:v>
                      </c:pt>
                      <c:pt idx="223">
                        <c:v>2880.3220000000001</c:v>
                      </c:pt>
                      <c:pt idx="224">
                        <c:v>2892.03</c:v>
                      </c:pt>
                      <c:pt idx="225">
                        <c:v>2903.855</c:v>
                      </c:pt>
                      <c:pt idx="226">
                        <c:v>2915.3229999999999</c:v>
                      </c:pt>
                      <c:pt idx="227">
                        <c:v>2926.855</c:v>
                      </c:pt>
                      <c:pt idx="228">
                        <c:v>2942.5450000000001</c:v>
                      </c:pt>
                      <c:pt idx="229">
                        <c:v>2954.451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Data!$AT$130:$AT$200</c15:sqref>
                        </c15:formulaRef>
                      </c:ext>
                    </c:extLst>
                    <c:numCache>
                      <c:formatCode>0.000</c:formatCode>
                      <c:ptCount val="71"/>
                      <c:pt idx="0">
                        <c:v>-3.8827391884590647E-2</c:v>
                      </c:pt>
                      <c:pt idx="1">
                        <c:v>0.12914413799297303</c:v>
                      </c:pt>
                      <c:pt idx="2">
                        <c:v>0.11359324770450416</c:v>
                      </c:pt>
                      <c:pt idx="3">
                        <c:v>0.11059751986345767</c:v>
                      </c:pt>
                      <c:pt idx="4">
                        <c:v>0.1250661590879385</c:v>
                      </c:pt>
                      <c:pt idx="5">
                        <c:v>0.24201919442554004</c:v>
                      </c:pt>
                      <c:pt idx="6">
                        <c:v>7.5007958345970488E-2</c:v>
                      </c:pt>
                      <c:pt idx="7">
                        <c:v>9.1432365014279718E-2</c:v>
                      </c:pt>
                      <c:pt idx="8">
                        <c:v>7.7634310326920544E-2</c:v>
                      </c:pt>
                      <c:pt idx="9">
                        <c:v>6.3165671102439702E-2</c:v>
                      </c:pt>
                      <c:pt idx="10">
                        <c:v>8.0987700373426535E-2</c:v>
                      </c:pt>
                      <c:pt idx="11">
                        <c:v>6.4390189999982805E-2</c:v>
                      </c:pt>
                      <c:pt idx="12">
                        <c:v>6.3162196978052948E-2</c:v>
                      </c:pt>
                      <c:pt idx="13">
                        <c:v>-1.8096856241944202E-2</c:v>
                      </c:pt>
                      <c:pt idx="14">
                        <c:v>-0.29458818132661779</c:v>
                      </c:pt>
                      <c:pt idx="15">
                        <c:v>-0.67300577534354533</c:v>
                      </c:pt>
                      <c:pt idx="16">
                        <c:v>-1.1768225692366698</c:v>
                      </c:pt>
                      <c:pt idx="17">
                        <c:v>-1.7377428466080045</c:v>
                      </c:pt>
                      <c:pt idx="18">
                        <c:v>-2.2181010362435356</c:v>
                      </c:pt>
                      <c:pt idx="19">
                        <c:v>-2.4548323214660832</c:v>
                      </c:pt>
                      <c:pt idx="20">
                        <c:v>-2.6248065353628518</c:v>
                      </c:pt>
                      <c:pt idx="21">
                        <c:v>-2.6178312490288098</c:v>
                      </c:pt>
                      <c:pt idx="22">
                        <c:v>-2.5552345355856851</c:v>
                      </c:pt>
                      <c:pt idx="23">
                        <c:v>-2.30138182720993</c:v>
                      </c:pt>
                      <c:pt idx="24">
                        <c:v>-1.8431609357064223</c:v>
                      </c:pt>
                      <c:pt idx="25">
                        <c:v>-1.2710120155381399</c:v>
                      </c:pt>
                      <c:pt idx="26">
                        <c:v>-0.72279954541564628</c:v>
                      </c:pt>
                      <c:pt idx="27">
                        <c:v>-0.22461555556444157</c:v>
                      </c:pt>
                      <c:pt idx="28">
                        <c:v>3.4244283441843645E-2</c:v>
                      </c:pt>
                      <c:pt idx="29">
                        <c:v>2.9127267744917286E-2</c:v>
                      </c:pt>
                      <c:pt idx="30">
                        <c:v>-8.7022564654777479E-2</c:v>
                      </c:pt>
                      <c:pt idx="31">
                        <c:v>-0.20430441569696578</c:v>
                      </c:pt>
                      <c:pt idx="32">
                        <c:v>-0.27695664763494943</c:v>
                      </c:pt>
                      <c:pt idx="33">
                        <c:v>-0.28871238027976115</c:v>
                      </c:pt>
                      <c:pt idx="34">
                        <c:v>-0.2892916730932355</c:v>
                      </c:pt>
                      <c:pt idx="35">
                        <c:v>-0.27049289738534771</c:v>
                      </c:pt>
                      <c:pt idx="36">
                        <c:v>-0.25440141356468449</c:v>
                      </c:pt>
                      <c:pt idx="37">
                        <c:v>-0.21055645089700342</c:v>
                      </c:pt>
                      <c:pt idx="38">
                        <c:v>-0.16571004982068949</c:v>
                      </c:pt>
                      <c:pt idx="39">
                        <c:v>-8.9415048319569118E-2</c:v>
                      </c:pt>
                      <c:pt idx="40">
                        <c:v>9.3830331460038711E-3</c:v>
                      </c:pt>
                      <c:pt idx="41">
                        <c:v>0.10718324548104705</c:v>
                      </c:pt>
                      <c:pt idx="42">
                        <c:v>0.17905209145513221</c:v>
                      </c:pt>
                      <c:pt idx="43">
                        <c:v>0.22764689181149325</c:v>
                      </c:pt>
                      <c:pt idx="44">
                        <c:v>0.27476550244731512</c:v>
                      </c:pt>
                      <c:pt idx="45">
                        <c:v>0.26046665972131072</c:v>
                      </c:pt>
                      <c:pt idx="46">
                        <c:v>0.24135004601176502</c:v>
                      </c:pt>
                      <c:pt idx="47">
                        <c:v>0.23108615199096075</c:v>
                      </c:pt>
                      <c:pt idx="48">
                        <c:v>0.21534825979954145</c:v>
                      </c:pt>
                      <c:pt idx="49">
                        <c:v>0.16928269162672929</c:v>
                      </c:pt>
                      <c:pt idx="50">
                        <c:v>0.12622564103469466</c:v>
                      </c:pt>
                      <c:pt idx="51">
                        <c:v>8.0728047200378628E-2</c:v>
                      </c:pt>
                      <c:pt idx="52">
                        <c:v>1.6202690572765129E-2</c:v>
                      </c:pt>
                      <c:pt idx="53">
                        <c:v>-4.9879568534945351E-2</c:v>
                      </c:pt>
                      <c:pt idx="54">
                        <c:v>-0.11618612743440342</c:v>
                      </c:pt>
                      <c:pt idx="55">
                        <c:v>-0.16129890938929156</c:v>
                      </c:pt>
                      <c:pt idx="56">
                        <c:v>-0.19436729878677167</c:v>
                      </c:pt>
                      <c:pt idx="57">
                        <c:v>-0.21925058865834285</c:v>
                      </c:pt>
                      <c:pt idx="58">
                        <c:v>-0.21483537888526585</c:v>
                      </c:pt>
                      <c:pt idx="59">
                        <c:v>-0.19763583111813557</c:v>
                      </c:pt>
                      <c:pt idx="60">
                        <c:v>-0.18658106131060473</c:v>
                      </c:pt>
                      <c:pt idx="61">
                        <c:v>-0.15064863521314514</c:v>
                      </c:pt>
                      <c:pt idx="62">
                        <c:v>-0.12641052828233093</c:v>
                      </c:pt>
                      <c:pt idx="63">
                        <c:v>-9.7600387112639228E-2</c:v>
                      </c:pt>
                      <c:pt idx="64">
                        <c:v>-4.982593839122329E-2</c:v>
                      </c:pt>
                      <c:pt idx="65">
                        <c:v>1.6764697439227067E-3</c:v>
                      </c:pt>
                      <c:pt idx="66">
                        <c:v>4.6307649128761084E-2</c:v>
                      </c:pt>
                      <c:pt idx="67">
                        <c:v>0.11612629157603591</c:v>
                      </c:pt>
                      <c:pt idx="68">
                        <c:v>0.16424562752919955</c:v>
                      </c:pt>
                      <c:pt idx="69">
                        <c:v>0.18303749366188504</c:v>
                      </c:pt>
                      <c:pt idx="70">
                        <c:v>0.2004514854736609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CA6-4EE4-8614-46B83DB8F3AD}"/>
                  </c:ext>
                </c:extLst>
              </c15:ser>
            </c15:filteredLineSeries>
          </c:ext>
        </c:extLst>
      </c:lineChart>
      <c:catAx>
        <c:axId val="9762790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(ms)</a:t>
                </a:r>
              </a:p>
            </c:rich>
          </c:tx>
          <c:layout>
            <c:manualLayout>
              <c:xMode val="edge"/>
              <c:yMode val="edge"/>
              <c:x val="0.46524205907732036"/>
              <c:y val="0.79971672548422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82927"/>
        <c:crosses val="autoZero"/>
        <c:auto val="1"/>
        <c:lblAlgn val="ctr"/>
        <c:lblOffset val="0"/>
        <c:noMultiLvlLbl val="0"/>
      </c:catAx>
      <c:valAx>
        <c:axId val="976282927"/>
        <c:scaling>
          <c:orientation val="minMax"/>
          <c:max val="2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7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800455864069621E-2"/>
          <c:y val="0.5016528095537095"/>
          <c:w val="0.9"/>
          <c:h val="1.28896410863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42333</xdr:rowOff>
    </xdr:from>
    <xdr:to>
      <xdr:col>23</xdr:col>
      <xdr:colOff>38100</xdr:colOff>
      <xdr:row>28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FED56F-9AB0-40EC-96BE-9B9B589F3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30</xdr:row>
      <xdr:rowOff>0</xdr:rowOff>
    </xdr:from>
    <xdr:to>
      <xdr:col>23</xdr:col>
      <xdr:colOff>457200</xdr:colOff>
      <xdr:row>120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A368F-010E-4D29-BB15-1FB897F3E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C51A-4E3B-48FA-8558-64DD290AD9D1}">
  <dimension ref="A1:AZ231"/>
  <sheetViews>
    <sheetView topLeftCell="S1" zoomScale="90" zoomScaleNormal="90" workbookViewId="0">
      <pane ySplit="1" topLeftCell="A130" activePane="bottomLeft" state="frozen"/>
      <selection pane="bottomLeft" activeCell="U231" sqref="A231:XFD231"/>
    </sheetView>
  </sheetViews>
  <sheetFormatPr defaultRowHeight="14.4" x14ac:dyDescent="0.3"/>
  <cols>
    <col min="1" max="1" width="19.21875" style="5" bestFit="1" customWidth="1"/>
    <col min="2" max="2" width="17.21875" style="5" bestFit="1" customWidth="1"/>
    <col min="3" max="3" width="17.88671875" style="5" bestFit="1" customWidth="1"/>
    <col min="4" max="4" width="15.77734375" style="5" bestFit="1" customWidth="1"/>
    <col min="5" max="5" width="9.5546875" style="5" bestFit="1" customWidth="1"/>
    <col min="6" max="6" width="6.5546875" style="5" bestFit="1" customWidth="1"/>
    <col min="7" max="8" width="6.21875" style="5" bestFit="1" customWidth="1"/>
    <col min="9" max="9" width="14.88671875" style="5" bestFit="1" customWidth="1"/>
    <col min="10" max="10" width="16.44140625" style="5" bestFit="1" customWidth="1"/>
    <col min="11" max="13" width="8.5546875" style="5" bestFit="1" customWidth="1"/>
    <col min="14" max="14" width="19.6640625" style="5" bestFit="1" customWidth="1"/>
    <col min="15" max="16" width="6.6640625" style="5" bestFit="1" customWidth="1"/>
    <col min="17" max="18" width="6" style="6" bestFit="1" customWidth="1"/>
    <col min="19" max="19" width="9" style="7" bestFit="1" customWidth="1"/>
    <col min="20" max="20" width="11.21875" style="5" bestFit="1" customWidth="1"/>
    <col min="21" max="21" width="12" style="5" bestFit="1" customWidth="1"/>
    <col min="22" max="22" width="12.109375" style="5" bestFit="1" customWidth="1"/>
    <col min="23" max="23" width="12" style="5" bestFit="1" customWidth="1"/>
    <col min="24" max="24" width="15.77734375" style="5" bestFit="1" customWidth="1"/>
    <col min="25" max="25" width="9.5546875" style="5" bestFit="1" customWidth="1"/>
    <col min="26" max="26" width="7.77734375" style="5" bestFit="1" customWidth="1"/>
    <col min="27" max="27" width="13.6640625" style="5" bestFit="1" customWidth="1"/>
    <col min="28" max="28" width="15.5546875" style="5" bestFit="1" customWidth="1"/>
    <col min="29" max="29" width="14.5546875" style="5" bestFit="1" customWidth="1"/>
    <col min="30" max="30" width="7.44140625" style="5" bestFit="1" customWidth="1"/>
    <col min="31" max="31" width="6.88671875" style="5" bestFit="1" customWidth="1"/>
    <col min="32" max="33" width="8.6640625" style="5" bestFit="1" customWidth="1"/>
    <col min="34" max="34" width="7.77734375" style="5" bestFit="1" customWidth="1"/>
    <col min="35" max="37" width="8.6640625" style="5" bestFit="1" customWidth="1"/>
    <col min="38" max="38" width="9.21875" style="5" bestFit="1" customWidth="1"/>
    <col min="39" max="39" width="8.77734375" style="5" bestFit="1" customWidth="1"/>
    <col min="40" max="40" width="6" style="5" customWidth="1"/>
    <col min="41" max="41" width="9.44140625" style="6" bestFit="1" customWidth="1"/>
    <col min="42" max="42" width="9" style="5" bestFit="1" customWidth="1"/>
    <col min="43" max="43" width="12.44140625" style="8" bestFit="1" customWidth="1"/>
    <col min="44" max="44" width="13.109375" style="6" bestFit="1" customWidth="1"/>
    <col min="45" max="45" width="16" style="6" bestFit="1" customWidth="1"/>
    <col min="46" max="46" width="12.6640625" style="6" bestFit="1" customWidth="1"/>
    <col min="47" max="47" width="10.77734375" style="6" bestFit="1" customWidth="1"/>
    <col min="48" max="48" width="5.44140625" style="5" bestFit="1" customWidth="1"/>
    <col min="49" max="49" width="7.6640625" style="5" bestFit="1" customWidth="1"/>
    <col min="50" max="50" width="5.5546875" style="5" bestFit="1" customWidth="1"/>
    <col min="51" max="51" width="4.21875" style="5" bestFit="1" customWidth="1"/>
    <col min="52" max="52" width="8.6640625" style="5" bestFit="1" customWidth="1"/>
    <col min="53" max="16384" width="8.88671875" style="5"/>
  </cols>
  <sheetData>
    <row r="1" spans="1:52" s="1" customFormat="1" x14ac:dyDescent="0.3">
      <c r="A1" s="1" t="s">
        <v>46</v>
      </c>
      <c r="B1" s="1" t="s">
        <v>47</v>
      </c>
      <c r="C1" s="1" t="s">
        <v>51</v>
      </c>
      <c r="D1" s="1" t="s">
        <v>48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49</v>
      </c>
      <c r="O1" s="1" t="s">
        <v>50</v>
      </c>
      <c r="P1" s="1" t="s">
        <v>9</v>
      </c>
      <c r="Q1" s="2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2" t="s">
        <v>45</v>
      </c>
      <c r="AP1" s="1" t="s">
        <v>44</v>
      </c>
      <c r="AQ1" s="4" t="s">
        <v>40</v>
      </c>
      <c r="AR1" s="2" t="s">
        <v>34</v>
      </c>
      <c r="AS1" s="2" t="s">
        <v>43</v>
      </c>
      <c r="AT1" s="2" t="s">
        <v>42</v>
      </c>
      <c r="AU1" s="2" t="s">
        <v>41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</row>
    <row r="2" spans="1:52" x14ac:dyDescent="0.3">
      <c r="A2" s="5" t="s">
        <v>52</v>
      </c>
      <c r="B2" s="5" t="s">
        <v>53</v>
      </c>
      <c r="C2" s="5" t="s">
        <v>54</v>
      </c>
      <c r="D2" s="5" t="s">
        <v>54</v>
      </c>
      <c r="E2" s="5" t="s">
        <v>55</v>
      </c>
      <c r="F2" s="5">
        <v>2</v>
      </c>
      <c r="G2" s="5">
        <v>0.04</v>
      </c>
      <c r="H2" s="5" t="b">
        <v>0</v>
      </c>
      <c r="I2" s="5" t="b">
        <v>0</v>
      </c>
      <c r="J2" s="5" t="b">
        <v>0</v>
      </c>
      <c r="K2" s="5">
        <v>2.9529999999999998</v>
      </c>
      <c r="L2" s="5">
        <v>5.1999999999999998E-2</v>
      </c>
      <c r="M2" s="5">
        <v>-5.8000000000000003E-2</v>
      </c>
      <c r="N2" s="5">
        <v>0</v>
      </c>
      <c r="O2" s="5">
        <v>0</v>
      </c>
      <c r="P2" s="5">
        <v>5.0000000000000001E-3</v>
      </c>
      <c r="Q2" s="5">
        <v>1E-3</v>
      </c>
      <c r="R2" s="5">
        <v>0.18</v>
      </c>
      <c r="S2" s="5">
        <v>9.4789999999999992</v>
      </c>
      <c r="T2" s="5">
        <v>1838.375</v>
      </c>
      <c r="U2" s="5">
        <v>1.714</v>
      </c>
      <c r="V2" s="5">
        <v>2.4460000000000002</v>
      </c>
      <c r="W2" s="5">
        <v>1.724</v>
      </c>
      <c r="X2" s="5">
        <v>4.1760000000000002</v>
      </c>
      <c r="Y2" s="5">
        <v>10.063000000000001</v>
      </c>
      <c r="Z2" s="5">
        <v>0</v>
      </c>
      <c r="AA2" s="5">
        <v>5270</v>
      </c>
      <c r="AB2" s="5">
        <v>2</v>
      </c>
      <c r="AC2" s="5">
        <v>0.06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6">
        <f>Z2/AA2</f>
        <v>0</v>
      </c>
      <c r="AP2" s="5">
        <f>AB2-Z2</f>
        <v>2</v>
      </c>
      <c r="AQ2" s="8">
        <f t="shared" ref="AQ2:AQ65" si="0">AP2/MAX(AP:AP)</f>
        <v>6.1538461538461538E-3</v>
      </c>
      <c r="AR2" s="6">
        <f>AB2/AA2</f>
        <v>3.7950664136622391E-4</v>
      </c>
      <c r="AS2" s="6">
        <f>AP2/(100*K2)</f>
        <v>6.7727734507280731E-3</v>
      </c>
      <c r="AT2" s="6">
        <f>0</f>
        <v>0</v>
      </c>
      <c r="AU2" s="6">
        <f>0</f>
        <v>0</v>
      </c>
      <c r="AV2" s="5">
        <f t="shared" ref="AV2:AV33" si="1">IF(B2="ACCELERATION",5,0)</f>
        <v>5</v>
      </c>
      <c r="AW2" s="5">
        <f t="shared" ref="AW2:AW33" si="2">IF(B2="CRUISING",5,0)</f>
        <v>0</v>
      </c>
      <c r="AX2" s="5">
        <f t="shared" ref="AX2:AX33" si="3">IF(B2="DECELERATION",5,0)</f>
        <v>0</v>
      </c>
      <c r="AY2" s="5">
        <f t="shared" ref="AY2:AY33" si="4">IF(B2="END",5,0)</f>
        <v>0</v>
      </c>
      <c r="AZ2" s="5">
        <f>IF(ABS(Z2-AA2)&lt;5,5,0)</f>
        <v>0</v>
      </c>
    </row>
    <row r="3" spans="1:52" x14ac:dyDescent="0.3">
      <c r="A3" s="5" t="s">
        <v>52</v>
      </c>
      <c r="B3" s="5" t="s">
        <v>53</v>
      </c>
      <c r="C3" s="5" t="s">
        <v>54</v>
      </c>
      <c r="D3" s="5" t="s">
        <v>56</v>
      </c>
      <c r="E3" s="5" t="s">
        <v>55</v>
      </c>
      <c r="F3" s="5">
        <v>2</v>
      </c>
      <c r="G3" s="5">
        <v>0.04</v>
      </c>
      <c r="H3" s="5" t="b">
        <v>0</v>
      </c>
      <c r="I3" s="5" t="b">
        <v>0</v>
      </c>
      <c r="J3" s="5" t="b">
        <v>0</v>
      </c>
      <c r="K3" s="5">
        <v>2.9529999999999998</v>
      </c>
      <c r="L3" s="5">
        <v>5.1999999999999998E-2</v>
      </c>
      <c r="M3" s="5">
        <v>-5.8000000000000003E-2</v>
      </c>
      <c r="N3" s="5">
        <v>0</v>
      </c>
      <c r="O3" s="5">
        <v>0</v>
      </c>
      <c r="P3" s="5">
        <v>5.0000000000000001E-3</v>
      </c>
      <c r="Q3" s="6">
        <v>1E-3</v>
      </c>
      <c r="R3" s="6">
        <v>0.18</v>
      </c>
      <c r="S3" s="7">
        <v>24.558</v>
      </c>
      <c r="T3" s="5">
        <v>1838.375</v>
      </c>
      <c r="U3" s="5">
        <v>1.7490000000000001</v>
      </c>
      <c r="V3" s="5">
        <v>2.6240000000000001</v>
      </c>
      <c r="W3" s="5">
        <v>1.6739999999999999</v>
      </c>
      <c r="X3" s="5">
        <v>4.4470000000000001</v>
      </c>
      <c r="Y3" s="5">
        <v>10.499000000000001</v>
      </c>
      <c r="Z3" s="5">
        <v>0</v>
      </c>
      <c r="AA3" s="5">
        <v>5270</v>
      </c>
      <c r="AB3" s="5">
        <v>10</v>
      </c>
      <c r="AC3" s="5">
        <v>0.06</v>
      </c>
      <c r="AD3" s="5">
        <v>0.05</v>
      </c>
      <c r="AE3" s="5">
        <v>0</v>
      </c>
      <c r="AF3" s="5">
        <v>0</v>
      </c>
      <c r="AG3" s="5">
        <v>0.05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6">
        <f t="shared" ref="AO3:AO66" si="5">Z3/AA3</f>
        <v>0</v>
      </c>
      <c r="AP3" s="5">
        <f t="shared" ref="AP3:AP66" si="6">AB3-Z3</f>
        <v>10</v>
      </c>
      <c r="AQ3" s="8">
        <f t="shared" si="0"/>
        <v>3.0769230769230771E-2</v>
      </c>
      <c r="AR3" s="6">
        <f t="shared" ref="AR3:AR66" si="7">AB3/AA3</f>
        <v>1.8975332068311196E-3</v>
      </c>
      <c r="AS3" s="6">
        <f t="shared" ref="AS3:AS66" si="8">AP3/(100*K3)</f>
        <v>3.3863867253640365E-2</v>
      </c>
      <c r="AT3" s="6">
        <f>AVERAGE(AU2:AU3)</f>
        <v>0.26526958021088931</v>
      </c>
      <c r="AU3" s="6">
        <f>(AP3-AP2)/(S3-S2)</f>
        <v>0.53053916042177862</v>
      </c>
      <c r="AV3" s="5">
        <f t="shared" si="1"/>
        <v>5</v>
      </c>
      <c r="AW3" s="5">
        <f t="shared" si="2"/>
        <v>0</v>
      </c>
      <c r="AX3" s="5">
        <f t="shared" si="3"/>
        <v>0</v>
      </c>
      <c r="AY3" s="5">
        <f t="shared" si="4"/>
        <v>0</v>
      </c>
      <c r="AZ3" s="5">
        <f t="shared" ref="AZ3:AZ66" si="9">IF(ABS(Z3-AA3)&lt;5,5,0)</f>
        <v>0</v>
      </c>
    </row>
    <row r="4" spans="1:52" x14ac:dyDescent="0.3">
      <c r="A4" s="5" t="s">
        <v>52</v>
      </c>
      <c r="B4" s="5" t="s">
        <v>53</v>
      </c>
      <c r="C4" s="5" t="s">
        <v>54</v>
      </c>
      <c r="D4" s="5" t="s">
        <v>56</v>
      </c>
      <c r="E4" s="5" t="s">
        <v>55</v>
      </c>
      <c r="F4" s="5">
        <v>2</v>
      </c>
      <c r="G4" s="5">
        <v>0.04</v>
      </c>
      <c r="H4" s="5" t="b">
        <v>0</v>
      </c>
      <c r="I4" s="5" t="b">
        <v>0</v>
      </c>
      <c r="J4" s="5" t="b">
        <v>0</v>
      </c>
      <c r="K4" s="5">
        <v>2.9529999999999998</v>
      </c>
      <c r="L4" s="5">
        <v>5.1999999999999998E-2</v>
      </c>
      <c r="M4" s="5">
        <v>-5.8000000000000003E-2</v>
      </c>
      <c r="N4" s="5">
        <v>3714.5720000000001</v>
      </c>
      <c r="O4" s="5">
        <v>1.419</v>
      </c>
      <c r="P4" s="5">
        <v>5.0000000000000001E-3</v>
      </c>
      <c r="Q4" s="6">
        <v>1E-3</v>
      </c>
      <c r="R4" s="6">
        <v>0.18</v>
      </c>
      <c r="S4" s="7">
        <v>39.902000000000001</v>
      </c>
      <c r="T4" s="5">
        <v>1838.375</v>
      </c>
      <c r="U4" s="5">
        <v>1.7090000000000001</v>
      </c>
      <c r="V4" s="5">
        <v>2.5110000000000001</v>
      </c>
      <c r="W4" s="5">
        <v>1.6879999999999999</v>
      </c>
      <c r="X4" s="5">
        <v>4.18</v>
      </c>
      <c r="Y4" s="5">
        <v>10.092000000000001</v>
      </c>
      <c r="Z4" s="5">
        <v>0</v>
      </c>
      <c r="AA4" s="5">
        <v>5270</v>
      </c>
      <c r="AB4" s="5">
        <v>32</v>
      </c>
      <c r="AC4" s="5">
        <v>0.06</v>
      </c>
      <c r="AD4" s="5">
        <v>0.16</v>
      </c>
      <c r="AE4" s="5">
        <v>0</v>
      </c>
      <c r="AF4" s="5">
        <v>0</v>
      </c>
      <c r="AG4" s="5">
        <v>0.16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0.42199999999999999</v>
      </c>
      <c r="AO4" s="6">
        <f t="shared" si="5"/>
        <v>0</v>
      </c>
      <c r="AP4" s="5">
        <f t="shared" si="6"/>
        <v>32</v>
      </c>
      <c r="AQ4" s="8">
        <f t="shared" si="0"/>
        <v>9.8461538461538461E-2</v>
      </c>
      <c r="AR4" s="6">
        <f t="shared" si="7"/>
        <v>6.0721062618595825E-3</v>
      </c>
      <c r="AS4" s="6">
        <f t="shared" si="8"/>
        <v>0.10836437521164917</v>
      </c>
      <c r="AT4" s="6">
        <f>AVERAGE(AU2:AU4)</f>
        <v>0.65477478444368631</v>
      </c>
      <c r="AU4" s="6">
        <f t="shared" ref="AU4:AU67" si="10">(AP4-AP3)/(S4-S3)</f>
        <v>1.4337851929092804</v>
      </c>
      <c r="AV4" s="5">
        <f t="shared" si="1"/>
        <v>5</v>
      </c>
      <c r="AW4" s="5">
        <f t="shared" si="2"/>
        <v>0</v>
      </c>
      <c r="AX4" s="5">
        <f t="shared" si="3"/>
        <v>0</v>
      </c>
      <c r="AY4" s="5">
        <f t="shared" si="4"/>
        <v>0</v>
      </c>
      <c r="AZ4" s="5">
        <f t="shared" si="9"/>
        <v>0</v>
      </c>
    </row>
    <row r="5" spans="1:52" x14ac:dyDescent="0.3">
      <c r="A5" s="5" t="s">
        <v>52</v>
      </c>
      <c r="B5" s="5" t="s">
        <v>53</v>
      </c>
      <c r="C5" s="5" t="s">
        <v>54</v>
      </c>
      <c r="D5" s="5" t="s">
        <v>56</v>
      </c>
      <c r="E5" s="5" t="s">
        <v>55</v>
      </c>
      <c r="F5" s="5">
        <v>2</v>
      </c>
      <c r="G5" s="5">
        <v>0.04</v>
      </c>
      <c r="H5" s="5" t="b">
        <v>0</v>
      </c>
      <c r="I5" s="5" t="b">
        <v>0</v>
      </c>
      <c r="J5" s="5" t="b">
        <v>0</v>
      </c>
      <c r="K5" s="5">
        <v>2.9529999999999998</v>
      </c>
      <c r="L5" s="5">
        <v>5.1999999999999998E-2</v>
      </c>
      <c r="M5" s="5">
        <v>-5.8000000000000003E-2</v>
      </c>
      <c r="N5" s="5">
        <v>2904.4589999999998</v>
      </c>
      <c r="O5" s="5">
        <v>1.8140000000000001</v>
      </c>
      <c r="P5" s="5">
        <v>5.0000000000000001E-3</v>
      </c>
      <c r="Q5" s="6">
        <v>1E-3</v>
      </c>
      <c r="R5" s="6">
        <v>0.18</v>
      </c>
      <c r="S5" s="7">
        <v>55.198999999999998</v>
      </c>
      <c r="T5" s="5">
        <v>1838.375</v>
      </c>
      <c r="U5" s="5">
        <v>1.6950000000000001</v>
      </c>
      <c r="V5" s="5">
        <v>2.391</v>
      </c>
      <c r="W5" s="5">
        <v>1.6020000000000001</v>
      </c>
      <c r="X5" s="5">
        <v>4.2229999999999999</v>
      </c>
      <c r="Y5" s="5">
        <v>9.9139999999999997</v>
      </c>
      <c r="Z5" s="5">
        <v>3</v>
      </c>
      <c r="AA5" s="5">
        <v>5270</v>
      </c>
      <c r="AB5" s="5">
        <v>65</v>
      </c>
      <c r="AC5" s="5">
        <v>0.06</v>
      </c>
      <c r="AD5" s="5">
        <v>0.32500000000000001</v>
      </c>
      <c r="AE5" s="5">
        <v>0</v>
      </c>
      <c r="AF5" s="5">
        <v>0</v>
      </c>
      <c r="AG5" s="5">
        <v>0.32500000000000001</v>
      </c>
      <c r="AH5" s="5">
        <v>0.02</v>
      </c>
      <c r="AI5" s="5">
        <v>6.5619999999999998E-2</v>
      </c>
      <c r="AJ5" s="5">
        <v>4.2900000000000004E-3</v>
      </c>
      <c r="AK5" s="5">
        <v>1.4400000000000001E-3</v>
      </c>
      <c r="AL5" s="5">
        <v>0</v>
      </c>
      <c r="AM5" s="5">
        <v>0</v>
      </c>
      <c r="AN5" s="5">
        <v>0.56399999999999995</v>
      </c>
      <c r="AO5" s="6">
        <f t="shared" si="5"/>
        <v>5.6925996204933583E-4</v>
      </c>
      <c r="AP5" s="5">
        <f t="shared" si="6"/>
        <v>62</v>
      </c>
      <c r="AQ5" s="8">
        <f t="shared" si="0"/>
        <v>0.19076923076923077</v>
      </c>
      <c r="AR5" s="6">
        <f t="shared" si="7"/>
        <v>1.2333965844402278E-2</v>
      </c>
      <c r="AS5" s="6">
        <f t="shared" si="8"/>
        <v>0.20995597697257026</v>
      </c>
      <c r="AT5" s="6">
        <f>AVERAGE(AU2:AU5)</f>
        <v>0.98137330249240406</v>
      </c>
      <c r="AU5" s="6">
        <f t="shared" si="10"/>
        <v>1.961168856638557</v>
      </c>
      <c r="AV5" s="5">
        <f t="shared" si="1"/>
        <v>5</v>
      </c>
      <c r="AW5" s="5">
        <f t="shared" si="2"/>
        <v>0</v>
      </c>
      <c r="AX5" s="5">
        <f t="shared" si="3"/>
        <v>0</v>
      </c>
      <c r="AY5" s="5">
        <f t="shared" si="4"/>
        <v>0</v>
      </c>
      <c r="AZ5" s="5">
        <f t="shared" si="9"/>
        <v>0</v>
      </c>
    </row>
    <row r="6" spans="1:52" x14ac:dyDescent="0.3">
      <c r="A6" s="5" t="s">
        <v>52</v>
      </c>
      <c r="B6" s="5" t="s">
        <v>56</v>
      </c>
      <c r="C6" s="5" t="s">
        <v>54</v>
      </c>
      <c r="D6" s="5" t="s">
        <v>56</v>
      </c>
      <c r="E6" s="5" t="s">
        <v>55</v>
      </c>
      <c r="F6" s="5">
        <v>2</v>
      </c>
      <c r="G6" s="5">
        <v>0.04</v>
      </c>
      <c r="H6" s="5" t="b">
        <v>0</v>
      </c>
      <c r="I6" s="5" t="b">
        <v>0</v>
      </c>
      <c r="J6" s="5" t="b">
        <v>0</v>
      </c>
      <c r="K6" s="5">
        <v>2.9529999999999998</v>
      </c>
      <c r="L6" s="5">
        <v>5.1999999999999998E-2</v>
      </c>
      <c r="M6" s="5">
        <v>-5.8000000000000003E-2</v>
      </c>
      <c r="N6" s="5">
        <v>2140.3389999999999</v>
      </c>
      <c r="O6" s="5">
        <v>2.4609999999999999</v>
      </c>
      <c r="P6" s="5">
        <v>5.0000000000000001E-3</v>
      </c>
      <c r="Q6" s="6">
        <v>1E-3</v>
      </c>
      <c r="R6" s="6">
        <v>0.18</v>
      </c>
      <c r="S6" s="7">
        <v>69.929000000000002</v>
      </c>
      <c r="T6" s="5">
        <v>1838.375</v>
      </c>
      <c r="U6" s="5">
        <v>1.847</v>
      </c>
      <c r="V6" s="5">
        <v>2.492</v>
      </c>
      <c r="W6" s="5">
        <v>1.665</v>
      </c>
      <c r="X6" s="5">
        <v>4.2210000000000001</v>
      </c>
      <c r="Y6" s="5">
        <v>10.23</v>
      </c>
      <c r="Z6" s="5">
        <v>10</v>
      </c>
      <c r="AA6" s="5">
        <v>5270</v>
      </c>
      <c r="AB6" s="5">
        <v>109</v>
      </c>
      <c r="AC6" s="5">
        <v>0.06</v>
      </c>
      <c r="AD6" s="5">
        <v>0.53</v>
      </c>
      <c r="AE6" s="5">
        <v>0</v>
      </c>
      <c r="AF6" s="5">
        <v>0</v>
      </c>
      <c r="AG6" s="5">
        <v>0.53</v>
      </c>
      <c r="AH6" s="5">
        <v>0.18</v>
      </c>
      <c r="AI6" s="5">
        <v>0.16542999999999999</v>
      </c>
      <c r="AJ6" s="5">
        <v>6.7799999999999996E-3</v>
      </c>
      <c r="AK6" s="5">
        <v>2.7399999999999998E-3</v>
      </c>
      <c r="AL6" s="5">
        <v>0</v>
      </c>
      <c r="AM6" s="5">
        <v>0</v>
      </c>
      <c r="AN6" s="5">
        <v>1.4319999999999999</v>
      </c>
      <c r="AO6" s="6">
        <f t="shared" si="5"/>
        <v>1.8975332068311196E-3</v>
      </c>
      <c r="AP6" s="5">
        <f t="shared" si="6"/>
        <v>99</v>
      </c>
      <c r="AQ6" s="8">
        <f t="shared" si="0"/>
        <v>0.30461538461538462</v>
      </c>
      <c r="AR6" s="6">
        <f t="shared" si="7"/>
        <v>2.0683111954459203E-2</v>
      </c>
      <c r="AS6" s="6">
        <f t="shared" si="8"/>
        <v>0.33525228581103961</v>
      </c>
      <c r="AT6" s="6">
        <f>AVERAGE(AU2:AU6)</f>
        <v>1.2874747451846902</v>
      </c>
      <c r="AU6" s="6">
        <f t="shared" si="10"/>
        <v>2.5118805159538349</v>
      </c>
      <c r="AV6" s="5">
        <f t="shared" si="1"/>
        <v>0</v>
      </c>
      <c r="AW6" s="5">
        <f t="shared" si="2"/>
        <v>5</v>
      </c>
      <c r="AX6" s="5">
        <f t="shared" si="3"/>
        <v>0</v>
      </c>
      <c r="AY6" s="5">
        <f t="shared" si="4"/>
        <v>0</v>
      </c>
      <c r="AZ6" s="5">
        <f t="shared" si="9"/>
        <v>0</v>
      </c>
    </row>
    <row r="7" spans="1:52" x14ac:dyDescent="0.3">
      <c r="A7" s="5" t="s">
        <v>52</v>
      </c>
      <c r="B7" s="5" t="s">
        <v>56</v>
      </c>
      <c r="C7" s="5" t="s">
        <v>54</v>
      </c>
      <c r="D7" s="5" t="s">
        <v>56</v>
      </c>
      <c r="E7" s="5" t="s">
        <v>55</v>
      </c>
      <c r="F7" s="5">
        <v>2</v>
      </c>
      <c r="G7" s="5">
        <v>0.04</v>
      </c>
      <c r="H7" s="5" t="b">
        <v>0</v>
      </c>
      <c r="I7" s="5" t="b">
        <v>0</v>
      </c>
      <c r="J7" s="5" t="b">
        <v>0</v>
      </c>
      <c r="K7" s="5">
        <v>2.9529999999999998</v>
      </c>
      <c r="L7" s="5">
        <v>5.1999999999999998E-2</v>
      </c>
      <c r="M7" s="5">
        <v>-5.8000000000000003E-2</v>
      </c>
      <c r="N7" s="5">
        <v>2034.59</v>
      </c>
      <c r="O7" s="5">
        <v>2.585</v>
      </c>
      <c r="P7" s="5">
        <v>5.0000000000000001E-3</v>
      </c>
      <c r="Q7" s="6">
        <v>1E-3</v>
      </c>
      <c r="R7" s="6">
        <v>0.18</v>
      </c>
      <c r="S7" s="7">
        <v>85.262</v>
      </c>
      <c r="T7" s="5">
        <v>1838.375</v>
      </c>
      <c r="U7" s="5">
        <v>1.752</v>
      </c>
      <c r="V7" s="5">
        <v>2.4649999999999999</v>
      </c>
      <c r="W7" s="5">
        <v>1.663</v>
      </c>
      <c r="X7" s="5">
        <v>3.9409999999999998</v>
      </c>
      <c r="Y7" s="5">
        <v>9.8260000000000005</v>
      </c>
      <c r="Z7" s="5">
        <v>25</v>
      </c>
      <c r="AA7" s="5">
        <v>5270</v>
      </c>
      <c r="AB7" s="5">
        <v>153</v>
      </c>
      <c r="AC7" s="5">
        <v>0.06</v>
      </c>
      <c r="AD7" s="5">
        <v>0.71499999999999997</v>
      </c>
      <c r="AE7" s="5">
        <v>0</v>
      </c>
      <c r="AF7" s="5">
        <v>0</v>
      </c>
      <c r="AG7" s="5">
        <v>0.71499999999999997</v>
      </c>
      <c r="AH7" s="5">
        <v>0.34</v>
      </c>
      <c r="AI7" s="5">
        <v>0.32989000000000002</v>
      </c>
      <c r="AJ7" s="5">
        <v>1.073E-2</v>
      </c>
      <c r="AK7" s="5">
        <v>4.3499999999999997E-3</v>
      </c>
      <c r="AL7" s="5">
        <v>0</v>
      </c>
      <c r="AM7" s="5">
        <v>0</v>
      </c>
      <c r="AN7" s="5">
        <v>1.5960000000000001</v>
      </c>
      <c r="AO7" s="6">
        <f t="shared" si="5"/>
        <v>4.7438330170777986E-3</v>
      </c>
      <c r="AP7" s="5">
        <f t="shared" si="6"/>
        <v>128</v>
      </c>
      <c r="AQ7" s="8">
        <f t="shared" si="0"/>
        <v>0.39384615384615385</v>
      </c>
      <c r="AR7" s="6">
        <f t="shared" si="7"/>
        <v>2.903225806451613E-2</v>
      </c>
      <c r="AS7" s="6">
        <f t="shared" si="8"/>
        <v>0.43345750084659668</v>
      </c>
      <c r="AT7" s="6">
        <f t="shared" ref="AT7:AT70" si="11">AVERAGE(AU3:AU7)</f>
        <v>1.6657438379910556</v>
      </c>
      <c r="AU7" s="6">
        <f t="shared" si="10"/>
        <v>1.891345464031827</v>
      </c>
      <c r="AV7" s="5">
        <f t="shared" si="1"/>
        <v>0</v>
      </c>
      <c r="AW7" s="5">
        <f t="shared" si="2"/>
        <v>5</v>
      </c>
      <c r="AX7" s="5">
        <f t="shared" si="3"/>
        <v>0</v>
      </c>
      <c r="AY7" s="5">
        <f t="shared" si="4"/>
        <v>0</v>
      </c>
      <c r="AZ7" s="5">
        <f t="shared" si="9"/>
        <v>0</v>
      </c>
    </row>
    <row r="8" spans="1:52" x14ac:dyDescent="0.3">
      <c r="A8" s="5" t="s">
        <v>52</v>
      </c>
      <c r="B8" s="5" t="s">
        <v>56</v>
      </c>
      <c r="C8" s="5" t="s">
        <v>54</v>
      </c>
      <c r="D8" s="5" t="s">
        <v>56</v>
      </c>
      <c r="E8" s="5" t="s">
        <v>55</v>
      </c>
      <c r="F8" s="5">
        <v>2</v>
      </c>
      <c r="G8" s="5">
        <v>0.04</v>
      </c>
      <c r="H8" s="5" t="b">
        <v>0</v>
      </c>
      <c r="I8" s="5" t="b">
        <v>0</v>
      </c>
      <c r="J8" s="5" t="b">
        <v>0</v>
      </c>
      <c r="K8" s="5">
        <v>2.9529999999999998</v>
      </c>
      <c r="L8" s="5">
        <v>5.1999999999999998E-2</v>
      </c>
      <c r="M8" s="5">
        <v>-5.8000000000000003E-2</v>
      </c>
      <c r="N8" s="5">
        <v>2383.4580000000001</v>
      </c>
      <c r="O8" s="5">
        <v>2.2010000000000001</v>
      </c>
      <c r="P8" s="5">
        <v>5.0000000000000001E-3</v>
      </c>
      <c r="Q8" s="6">
        <v>1E-3</v>
      </c>
      <c r="R8" s="6">
        <v>0.18</v>
      </c>
      <c r="S8" s="7">
        <v>99.899000000000001</v>
      </c>
      <c r="T8" s="5">
        <v>1838.375</v>
      </c>
      <c r="U8" s="5">
        <v>1.742</v>
      </c>
      <c r="V8" s="5">
        <v>2.58</v>
      </c>
      <c r="W8" s="5">
        <v>1.65</v>
      </c>
      <c r="X8" s="5">
        <v>4.3360000000000003</v>
      </c>
      <c r="Y8" s="5">
        <v>10.311999999999999</v>
      </c>
      <c r="Z8" s="5">
        <v>46</v>
      </c>
      <c r="AA8" s="5">
        <v>5270</v>
      </c>
      <c r="AB8" s="5">
        <v>197</v>
      </c>
      <c r="AC8" s="5">
        <v>0.06</v>
      </c>
      <c r="AD8" s="5">
        <v>0.86</v>
      </c>
      <c r="AE8" s="5">
        <v>0</v>
      </c>
      <c r="AF8" s="5">
        <v>0</v>
      </c>
      <c r="AG8" s="5">
        <v>0.86</v>
      </c>
      <c r="AH8" s="5">
        <v>0.84</v>
      </c>
      <c r="AI8" s="5">
        <v>0.61055000000000004</v>
      </c>
      <c r="AJ8" s="5">
        <v>1.917E-2</v>
      </c>
      <c r="AK8" s="5">
        <v>8.0999999999999996E-3</v>
      </c>
      <c r="AL8" s="5">
        <v>0</v>
      </c>
      <c r="AM8" s="5">
        <v>0</v>
      </c>
      <c r="AN8" s="5">
        <v>2.0409999999999999</v>
      </c>
      <c r="AO8" s="6">
        <f t="shared" si="5"/>
        <v>8.7286527514231493E-3</v>
      </c>
      <c r="AP8" s="5">
        <f t="shared" si="6"/>
        <v>151</v>
      </c>
      <c r="AQ8" s="8">
        <f t="shared" si="0"/>
        <v>0.4646153846153846</v>
      </c>
      <c r="AR8" s="6">
        <f t="shared" si="7"/>
        <v>3.7381404174573057E-2</v>
      </c>
      <c r="AS8" s="6">
        <f t="shared" si="8"/>
        <v>0.51134439552996946</v>
      </c>
      <c r="AT8" s="6">
        <f t="shared" si="11"/>
        <v>1.8739080561902282</v>
      </c>
      <c r="AU8" s="6">
        <f t="shared" si="10"/>
        <v>1.5713602514176401</v>
      </c>
      <c r="AV8" s="5">
        <f t="shared" si="1"/>
        <v>0</v>
      </c>
      <c r="AW8" s="5">
        <f t="shared" si="2"/>
        <v>5</v>
      </c>
      <c r="AX8" s="5">
        <f t="shared" si="3"/>
        <v>0</v>
      </c>
      <c r="AY8" s="5">
        <f t="shared" si="4"/>
        <v>0</v>
      </c>
      <c r="AZ8" s="5">
        <f t="shared" si="9"/>
        <v>0</v>
      </c>
    </row>
    <row r="9" spans="1:52" x14ac:dyDescent="0.3">
      <c r="A9" s="5" t="s">
        <v>52</v>
      </c>
      <c r="B9" s="5" t="s">
        <v>56</v>
      </c>
      <c r="C9" s="5" t="s">
        <v>54</v>
      </c>
      <c r="D9" s="5" t="s">
        <v>56</v>
      </c>
      <c r="E9" s="5" t="s">
        <v>55</v>
      </c>
      <c r="F9" s="5">
        <v>2</v>
      </c>
      <c r="G9" s="5">
        <v>0.04</v>
      </c>
      <c r="H9" s="5" t="b">
        <v>0</v>
      </c>
      <c r="I9" s="5" t="b">
        <v>0</v>
      </c>
      <c r="J9" s="5" t="b">
        <v>0</v>
      </c>
      <c r="K9" s="5">
        <v>2.9529999999999998</v>
      </c>
      <c r="L9" s="5">
        <v>5.1999999999999998E-2</v>
      </c>
      <c r="M9" s="5">
        <v>-5.8000000000000003E-2</v>
      </c>
      <c r="N9" s="5">
        <v>2960.576</v>
      </c>
      <c r="O9" s="5">
        <v>1.7649999999999999</v>
      </c>
      <c r="P9" s="5">
        <v>5.0000000000000001E-3</v>
      </c>
      <c r="Q9" s="6">
        <v>1E-3</v>
      </c>
      <c r="R9" s="6">
        <v>0.18</v>
      </c>
      <c r="S9" s="7">
        <v>115.592</v>
      </c>
      <c r="T9" s="5">
        <v>1838.375</v>
      </c>
      <c r="U9" s="5">
        <v>1.806</v>
      </c>
      <c r="V9" s="5">
        <v>2.367</v>
      </c>
      <c r="W9" s="5">
        <v>1.6120000000000001</v>
      </c>
      <c r="X9" s="5">
        <v>4.1719999999999997</v>
      </c>
      <c r="Y9" s="5">
        <v>9.9610000000000003</v>
      </c>
      <c r="Z9" s="5">
        <v>76</v>
      </c>
      <c r="AA9" s="5">
        <v>5270</v>
      </c>
      <c r="AB9" s="5">
        <v>242</v>
      </c>
      <c r="AC9" s="5">
        <v>0.06</v>
      </c>
      <c r="AD9" s="5">
        <v>0.98</v>
      </c>
      <c r="AE9" s="5">
        <v>0</v>
      </c>
      <c r="AF9" s="5">
        <v>0</v>
      </c>
      <c r="AG9" s="5">
        <v>0.98</v>
      </c>
      <c r="AH9" s="5">
        <v>1.1399999999999999</v>
      </c>
      <c r="AI9" s="5">
        <v>1.0040899999999999</v>
      </c>
      <c r="AJ9" s="5">
        <v>2.5080000000000002E-2</v>
      </c>
      <c r="AK9" s="5">
        <v>1.3270000000000001E-2</v>
      </c>
      <c r="AL9" s="5">
        <v>0</v>
      </c>
      <c r="AM9" s="5">
        <v>0</v>
      </c>
      <c r="AN9" s="5">
        <v>1.895</v>
      </c>
      <c r="AO9" s="6">
        <f t="shared" si="5"/>
        <v>1.4421252371916509E-2</v>
      </c>
      <c r="AP9" s="5">
        <f t="shared" si="6"/>
        <v>166</v>
      </c>
      <c r="AQ9" s="8">
        <f t="shared" si="0"/>
        <v>0.51076923076923075</v>
      </c>
      <c r="AR9" s="6">
        <f t="shared" si="7"/>
        <v>4.5920303605313094E-2</v>
      </c>
      <c r="AS9" s="6">
        <f t="shared" si="8"/>
        <v>0.56214019641043</v>
      </c>
      <c r="AT9" s="6">
        <f t="shared" si="11"/>
        <v>1.7783190543126348</v>
      </c>
      <c r="AU9" s="6">
        <f t="shared" si="10"/>
        <v>0.95584018352131539</v>
      </c>
      <c r="AV9" s="5">
        <f t="shared" si="1"/>
        <v>0</v>
      </c>
      <c r="AW9" s="5">
        <f t="shared" si="2"/>
        <v>5</v>
      </c>
      <c r="AX9" s="5">
        <f t="shared" si="3"/>
        <v>0</v>
      </c>
      <c r="AY9" s="5">
        <f t="shared" si="4"/>
        <v>0</v>
      </c>
      <c r="AZ9" s="5">
        <f t="shared" si="9"/>
        <v>0</v>
      </c>
    </row>
    <row r="10" spans="1:52" x14ac:dyDescent="0.3">
      <c r="A10" s="5" t="s">
        <v>52</v>
      </c>
      <c r="B10" s="5" t="s">
        <v>56</v>
      </c>
      <c r="C10" s="5" t="s">
        <v>54</v>
      </c>
      <c r="D10" s="5" t="s">
        <v>56</v>
      </c>
      <c r="E10" s="5" t="s">
        <v>55</v>
      </c>
      <c r="F10" s="5">
        <v>2</v>
      </c>
      <c r="G10" s="5">
        <v>0.04</v>
      </c>
      <c r="H10" s="5" t="b">
        <v>0</v>
      </c>
      <c r="I10" s="5" t="b">
        <v>0</v>
      </c>
      <c r="J10" s="5" t="b">
        <v>0</v>
      </c>
      <c r="K10" s="5">
        <v>2.9529999999999998</v>
      </c>
      <c r="L10" s="5">
        <v>5.1999999999999998E-2</v>
      </c>
      <c r="M10" s="5">
        <v>-5.8000000000000003E-2</v>
      </c>
      <c r="N10" s="5">
        <v>4050.18</v>
      </c>
      <c r="O10" s="5">
        <v>1.282</v>
      </c>
      <c r="P10" s="5">
        <v>5.0000000000000001E-3</v>
      </c>
      <c r="Q10" s="6">
        <v>1E-3</v>
      </c>
      <c r="R10" s="6">
        <v>0.18</v>
      </c>
      <c r="S10" s="7">
        <v>130.416</v>
      </c>
      <c r="T10" s="5">
        <v>1838.375</v>
      </c>
      <c r="U10" s="5">
        <v>1.7090000000000001</v>
      </c>
      <c r="V10" s="5">
        <v>2.351</v>
      </c>
      <c r="W10" s="5">
        <v>1.661</v>
      </c>
      <c r="X10" s="5">
        <v>4.2149999999999999</v>
      </c>
      <c r="Y10" s="5">
        <v>9.9410000000000007</v>
      </c>
      <c r="Z10" s="5">
        <v>111</v>
      </c>
      <c r="AA10" s="5">
        <v>5270</v>
      </c>
      <c r="AB10" s="5">
        <v>287</v>
      </c>
      <c r="AC10" s="5">
        <v>0.06</v>
      </c>
      <c r="AD10" s="5">
        <v>1</v>
      </c>
      <c r="AE10" s="5">
        <v>0</v>
      </c>
      <c r="AF10" s="5">
        <v>0</v>
      </c>
      <c r="AG10" s="5">
        <v>1</v>
      </c>
      <c r="AH10" s="5">
        <v>1.78</v>
      </c>
      <c r="AI10" s="5">
        <v>1.4358599999999999</v>
      </c>
      <c r="AJ10" s="5">
        <v>2.913E-2</v>
      </c>
      <c r="AK10" s="5">
        <v>1.822E-2</v>
      </c>
      <c r="AL10" s="5">
        <v>0</v>
      </c>
      <c r="AM10" s="5">
        <v>0</v>
      </c>
      <c r="AN10" s="5">
        <v>1.629</v>
      </c>
      <c r="AO10" s="6">
        <f t="shared" si="5"/>
        <v>2.1062618595825425E-2</v>
      </c>
      <c r="AP10" s="5">
        <f t="shared" si="6"/>
        <v>176</v>
      </c>
      <c r="AQ10" s="8">
        <f t="shared" si="0"/>
        <v>0.54153846153846152</v>
      </c>
      <c r="AR10" s="6">
        <f t="shared" si="7"/>
        <v>5.445920303605313E-2</v>
      </c>
      <c r="AS10" s="6">
        <f t="shared" si="8"/>
        <v>0.59600406366407044</v>
      </c>
      <c r="AT10" s="6">
        <f t="shared" si="11"/>
        <v>1.5210016348467692</v>
      </c>
      <c r="AU10" s="6">
        <f t="shared" si="10"/>
        <v>0.67458175930922837</v>
      </c>
      <c r="AV10" s="5">
        <f t="shared" si="1"/>
        <v>0</v>
      </c>
      <c r="AW10" s="5">
        <f t="shared" si="2"/>
        <v>5</v>
      </c>
      <c r="AX10" s="5">
        <f t="shared" si="3"/>
        <v>0</v>
      </c>
      <c r="AY10" s="5">
        <f t="shared" si="4"/>
        <v>0</v>
      </c>
      <c r="AZ10" s="5">
        <f t="shared" si="9"/>
        <v>0</v>
      </c>
    </row>
    <row r="11" spans="1:52" x14ac:dyDescent="0.3">
      <c r="A11" s="5" t="s">
        <v>52</v>
      </c>
      <c r="B11" s="5" t="s">
        <v>56</v>
      </c>
      <c r="C11" s="5" t="s">
        <v>54</v>
      </c>
      <c r="D11" s="5" t="s">
        <v>56</v>
      </c>
      <c r="E11" s="5" t="s">
        <v>55</v>
      </c>
      <c r="F11" s="5">
        <v>2</v>
      </c>
      <c r="G11" s="5">
        <v>0.04</v>
      </c>
      <c r="H11" s="5" t="b">
        <v>0</v>
      </c>
      <c r="I11" s="5" t="b">
        <v>0</v>
      </c>
      <c r="J11" s="5" t="b">
        <v>0</v>
      </c>
      <c r="K11" s="5">
        <v>2.9529999999999998</v>
      </c>
      <c r="L11" s="5">
        <v>5.1999999999999998E-2</v>
      </c>
      <c r="M11" s="5">
        <v>-5.8000000000000003E-2</v>
      </c>
      <c r="N11" s="5">
        <v>6506.9939999999997</v>
      </c>
      <c r="O11" s="5">
        <v>0.79300000000000004</v>
      </c>
      <c r="P11" s="5">
        <v>5.0000000000000001E-3</v>
      </c>
      <c r="Q11" s="6">
        <v>1E-3</v>
      </c>
      <c r="R11" s="6">
        <v>0.18</v>
      </c>
      <c r="S11" s="7">
        <v>143.70599999999999</v>
      </c>
      <c r="T11" s="5">
        <v>1838.375</v>
      </c>
      <c r="U11" s="5">
        <v>1.804</v>
      </c>
      <c r="V11" s="5">
        <v>2.532</v>
      </c>
      <c r="W11" s="5">
        <v>1.6259999999999999</v>
      </c>
      <c r="X11" s="5">
        <v>4.0730000000000004</v>
      </c>
      <c r="Y11" s="5">
        <v>10.039</v>
      </c>
      <c r="Z11" s="5">
        <v>146</v>
      </c>
      <c r="AA11" s="5">
        <v>5270</v>
      </c>
      <c r="AB11" s="5">
        <v>331</v>
      </c>
      <c r="AC11" s="5">
        <v>0.06</v>
      </c>
      <c r="AD11" s="5">
        <v>1</v>
      </c>
      <c r="AE11" s="5">
        <v>0</v>
      </c>
      <c r="AF11" s="5">
        <v>0</v>
      </c>
      <c r="AG11" s="5">
        <v>1</v>
      </c>
      <c r="AH11" s="5">
        <v>2.06</v>
      </c>
      <c r="AI11" s="5">
        <v>1.84341</v>
      </c>
      <c r="AJ11" s="5">
        <v>3.0669999999999999E-2</v>
      </c>
      <c r="AK11" s="5">
        <v>2.274E-2</v>
      </c>
      <c r="AL11" s="5">
        <v>0</v>
      </c>
      <c r="AM11" s="5">
        <v>0</v>
      </c>
      <c r="AN11" s="5">
        <v>1.3340000000000001</v>
      </c>
      <c r="AO11" s="6">
        <f t="shared" si="5"/>
        <v>2.7703984819734344E-2</v>
      </c>
      <c r="AP11" s="5">
        <f t="shared" si="6"/>
        <v>185</v>
      </c>
      <c r="AQ11" s="8">
        <f t="shared" si="0"/>
        <v>0.56923076923076921</v>
      </c>
      <c r="AR11" s="6">
        <f t="shared" si="7"/>
        <v>6.2808349146110054E-2</v>
      </c>
      <c r="AS11" s="6">
        <f t="shared" si="8"/>
        <v>0.6264815441923467</v>
      </c>
      <c r="AT11" s="6">
        <f t="shared" si="11"/>
        <v>1.1540657122429099</v>
      </c>
      <c r="AU11" s="6">
        <f t="shared" si="10"/>
        <v>0.67720090293453761</v>
      </c>
      <c r="AV11" s="5">
        <f t="shared" si="1"/>
        <v>0</v>
      </c>
      <c r="AW11" s="5">
        <f t="shared" si="2"/>
        <v>5</v>
      </c>
      <c r="AX11" s="5">
        <f t="shared" si="3"/>
        <v>0</v>
      </c>
      <c r="AY11" s="5">
        <f t="shared" si="4"/>
        <v>0</v>
      </c>
      <c r="AZ11" s="5">
        <f t="shared" si="9"/>
        <v>0</v>
      </c>
    </row>
    <row r="12" spans="1:52" x14ac:dyDescent="0.3">
      <c r="A12" s="5" t="s">
        <v>52</v>
      </c>
      <c r="B12" s="5" t="s">
        <v>56</v>
      </c>
      <c r="C12" s="5" t="s">
        <v>54</v>
      </c>
      <c r="D12" s="5" t="s">
        <v>56</v>
      </c>
      <c r="E12" s="5" t="s">
        <v>55</v>
      </c>
      <c r="F12" s="5">
        <v>2</v>
      </c>
      <c r="G12" s="5">
        <v>0.04</v>
      </c>
      <c r="H12" s="5" t="b">
        <v>0</v>
      </c>
      <c r="I12" s="5" t="b">
        <v>0</v>
      </c>
      <c r="J12" s="5" t="b">
        <v>0</v>
      </c>
      <c r="K12" s="5">
        <v>2.9529999999999998</v>
      </c>
      <c r="L12" s="5">
        <v>5.1999999999999998E-2</v>
      </c>
      <c r="M12" s="5">
        <v>-5.8000000000000003E-2</v>
      </c>
      <c r="N12" s="5">
        <v>10442.06</v>
      </c>
      <c r="O12" s="5">
        <v>0.49099999999999999</v>
      </c>
      <c r="P12" s="5">
        <v>5.0000000000000001E-3</v>
      </c>
      <c r="Q12" s="6">
        <v>1E-3</v>
      </c>
      <c r="R12" s="6">
        <v>0.18</v>
      </c>
      <c r="S12" s="7">
        <v>157.30699999999999</v>
      </c>
      <c r="T12" s="5">
        <v>1838.375</v>
      </c>
      <c r="U12" s="5">
        <v>2.1779999999999999</v>
      </c>
      <c r="V12" s="5">
        <v>3.1509999999999998</v>
      </c>
      <c r="W12" s="5">
        <v>2.222</v>
      </c>
      <c r="X12" s="5">
        <v>4.3710000000000004</v>
      </c>
      <c r="Y12" s="5">
        <v>11.925000000000001</v>
      </c>
      <c r="Z12" s="5">
        <v>184</v>
      </c>
      <c r="AA12" s="5">
        <v>5270</v>
      </c>
      <c r="AB12" s="5">
        <v>371</v>
      </c>
      <c r="AC12" s="5">
        <v>0.06</v>
      </c>
      <c r="AD12" s="5">
        <v>1</v>
      </c>
      <c r="AE12" s="5">
        <v>0</v>
      </c>
      <c r="AF12" s="5">
        <v>0</v>
      </c>
      <c r="AG12" s="5">
        <v>1</v>
      </c>
      <c r="AH12" s="5">
        <v>2.46</v>
      </c>
      <c r="AI12" s="5">
        <v>2.20695</v>
      </c>
      <c r="AJ12" s="5">
        <v>2.673E-2</v>
      </c>
      <c r="AK12" s="5">
        <v>2.605E-2</v>
      </c>
      <c r="AL12" s="5">
        <v>0</v>
      </c>
      <c r="AM12" s="5">
        <v>0</v>
      </c>
      <c r="AN12" s="5">
        <v>1.046</v>
      </c>
      <c r="AO12" s="6">
        <f t="shared" si="5"/>
        <v>3.4914611005692597E-2</v>
      </c>
      <c r="AP12" s="5">
        <f t="shared" si="6"/>
        <v>187</v>
      </c>
      <c r="AQ12" s="8">
        <f t="shared" si="0"/>
        <v>0.57538461538461538</v>
      </c>
      <c r="AR12" s="6">
        <f t="shared" si="7"/>
        <v>7.039848197343454E-2</v>
      </c>
      <c r="AS12" s="6">
        <f t="shared" si="8"/>
        <v>0.63325431764307483</v>
      </c>
      <c r="AT12" s="6">
        <f t="shared" si="11"/>
        <v>0.80520622167167399</v>
      </c>
      <c r="AU12" s="6">
        <f t="shared" si="10"/>
        <v>0.14704801117564886</v>
      </c>
      <c r="AV12" s="5">
        <f t="shared" si="1"/>
        <v>0</v>
      </c>
      <c r="AW12" s="5">
        <f t="shared" si="2"/>
        <v>5</v>
      </c>
      <c r="AX12" s="5">
        <f t="shared" si="3"/>
        <v>0</v>
      </c>
      <c r="AY12" s="5">
        <f t="shared" si="4"/>
        <v>0</v>
      </c>
      <c r="AZ12" s="5">
        <f t="shared" si="9"/>
        <v>0</v>
      </c>
    </row>
    <row r="13" spans="1:52" x14ac:dyDescent="0.3">
      <c r="A13" s="5" t="s">
        <v>52</v>
      </c>
      <c r="B13" s="5" t="s">
        <v>56</v>
      </c>
      <c r="C13" s="5" t="s">
        <v>54</v>
      </c>
      <c r="D13" s="5" t="s">
        <v>56</v>
      </c>
      <c r="E13" s="5" t="s">
        <v>55</v>
      </c>
      <c r="F13" s="5">
        <v>2</v>
      </c>
      <c r="G13" s="5">
        <v>0.04</v>
      </c>
      <c r="H13" s="5" t="b">
        <v>0</v>
      </c>
      <c r="I13" s="5" t="b">
        <v>0</v>
      </c>
      <c r="J13" s="5" t="b">
        <v>0</v>
      </c>
      <c r="K13" s="5">
        <v>2.9529999999999998</v>
      </c>
      <c r="L13" s="5">
        <v>5.1999999999999998E-2</v>
      </c>
      <c r="M13" s="5">
        <v>-5.8000000000000003E-2</v>
      </c>
      <c r="N13" s="5">
        <v>12321.125</v>
      </c>
      <c r="O13" s="5">
        <v>0.41299999999999998</v>
      </c>
      <c r="P13" s="5">
        <v>5.0000000000000001E-3</v>
      </c>
      <c r="Q13" s="6">
        <v>1E-3</v>
      </c>
      <c r="R13" s="6">
        <v>0.18</v>
      </c>
      <c r="S13" s="7">
        <v>172.58500000000001</v>
      </c>
      <c r="T13" s="5">
        <v>1838.375</v>
      </c>
      <c r="U13" s="5">
        <v>1.8460000000000001</v>
      </c>
      <c r="V13" s="5">
        <v>2.4430000000000001</v>
      </c>
      <c r="W13" s="5">
        <v>1.9890000000000001</v>
      </c>
      <c r="X13" s="5">
        <v>4.3440000000000003</v>
      </c>
      <c r="Y13" s="5">
        <v>10.627000000000001</v>
      </c>
      <c r="Z13" s="5">
        <v>225</v>
      </c>
      <c r="AA13" s="5">
        <v>5270</v>
      </c>
      <c r="AB13" s="5">
        <v>416</v>
      </c>
      <c r="AC13" s="5">
        <v>0.06</v>
      </c>
      <c r="AD13" s="5">
        <v>1</v>
      </c>
      <c r="AE13" s="5">
        <v>0</v>
      </c>
      <c r="AF13" s="5">
        <v>0</v>
      </c>
      <c r="AG13" s="5">
        <v>1</v>
      </c>
      <c r="AH13" s="5">
        <v>2.62</v>
      </c>
      <c r="AI13" s="5">
        <v>2.46265</v>
      </c>
      <c r="AJ13" s="5">
        <v>1.6740000000000001E-2</v>
      </c>
      <c r="AK13" s="5">
        <v>2.5479999999999999E-2</v>
      </c>
      <c r="AL13" s="5">
        <v>0</v>
      </c>
      <c r="AM13" s="5">
        <v>0</v>
      </c>
      <c r="AN13" s="5">
        <v>0.65900000000000003</v>
      </c>
      <c r="AO13" s="6">
        <f t="shared" si="5"/>
        <v>4.2694497153700189E-2</v>
      </c>
      <c r="AP13" s="5">
        <f t="shared" si="6"/>
        <v>191</v>
      </c>
      <c r="AQ13" s="8">
        <f t="shared" si="0"/>
        <v>0.58769230769230774</v>
      </c>
      <c r="AR13" s="6">
        <f t="shared" si="7"/>
        <v>7.893738140417457E-2</v>
      </c>
      <c r="AS13" s="6">
        <f t="shared" si="8"/>
        <v>0.64679986454453098</v>
      </c>
      <c r="AT13" s="6">
        <f t="shared" si="11"/>
        <v>0.54329704610996821</v>
      </c>
      <c r="AU13" s="6">
        <f t="shared" si="10"/>
        <v>0.26181437360911081</v>
      </c>
      <c r="AV13" s="5">
        <f t="shared" si="1"/>
        <v>0</v>
      </c>
      <c r="AW13" s="5">
        <f t="shared" si="2"/>
        <v>5</v>
      </c>
      <c r="AX13" s="5">
        <f t="shared" si="3"/>
        <v>0</v>
      </c>
      <c r="AY13" s="5">
        <f t="shared" si="4"/>
        <v>0</v>
      </c>
      <c r="AZ13" s="5">
        <f t="shared" si="9"/>
        <v>0</v>
      </c>
    </row>
    <row r="14" spans="1:52" x14ac:dyDescent="0.3">
      <c r="A14" s="5" t="s">
        <v>52</v>
      </c>
      <c r="B14" s="5" t="s">
        <v>56</v>
      </c>
      <c r="C14" s="5" t="s">
        <v>54</v>
      </c>
      <c r="D14" s="5" t="s">
        <v>56</v>
      </c>
      <c r="E14" s="5" t="s">
        <v>55</v>
      </c>
      <c r="F14" s="5">
        <v>2</v>
      </c>
      <c r="G14" s="5">
        <v>0.04</v>
      </c>
      <c r="H14" s="5" t="b">
        <v>0</v>
      </c>
      <c r="I14" s="5" t="b">
        <v>0</v>
      </c>
      <c r="J14" s="5" t="b">
        <v>0</v>
      </c>
      <c r="K14" s="5">
        <v>2.9529999999999998</v>
      </c>
      <c r="L14" s="5">
        <v>5.1999999999999998E-2</v>
      </c>
      <c r="M14" s="5">
        <v>-5.8000000000000003E-2</v>
      </c>
      <c r="N14" s="5">
        <v>19274.07</v>
      </c>
      <c r="O14" s="5">
        <v>0.26200000000000001</v>
      </c>
      <c r="P14" s="5">
        <v>5.0000000000000001E-3</v>
      </c>
      <c r="Q14" s="6">
        <v>1E-3</v>
      </c>
      <c r="R14" s="6">
        <v>0.18</v>
      </c>
      <c r="S14" s="7">
        <v>186.62200000000001</v>
      </c>
      <c r="T14" s="5">
        <v>1838.375</v>
      </c>
      <c r="U14" s="5">
        <v>2.0779999999999998</v>
      </c>
      <c r="V14" s="5">
        <v>2.6080000000000001</v>
      </c>
      <c r="W14" s="5">
        <v>1.7470000000000001</v>
      </c>
      <c r="X14" s="5">
        <v>4.1070000000000002</v>
      </c>
      <c r="Y14" s="5">
        <v>10.542999999999999</v>
      </c>
      <c r="Z14" s="5">
        <v>265</v>
      </c>
      <c r="AA14" s="5">
        <v>5270</v>
      </c>
      <c r="AB14" s="5">
        <v>458</v>
      </c>
      <c r="AC14" s="5">
        <v>0.06</v>
      </c>
      <c r="AD14" s="5">
        <v>1</v>
      </c>
      <c r="AE14" s="5">
        <v>0</v>
      </c>
      <c r="AF14" s="5">
        <v>0</v>
      </c>
      <c r="AG14" s="5">
        <v>1</v>
      </c>
      <c r="AH14" s="5">
        <v>2.78</v>
      </c>
      <c r="AI14" s="5">
        <v>2.6608499999999999</v>
      </c>
      <c r="AJ14" s="5">
        <v>1.4120000000000001E-2</v>
      </c>
      <c r="AK14" s="5">
        <v>2.332E-2</v>
      </c>
      <c r="AL14" s="5">
        <v>0</v>
      </c>
      <c r="AM14" s="5">
        <v>0</v>
      </c>
      <c r="AN14" s="5">
        <v>0.54300000000000004</v>
      </c>
      <c r="AO14" s="6">
        <f t="shared" si="5"/>
        <v>5.0284629981024669E-2</v>
      </c>
      <c r="AP14" s="5">
        <f t="shared" si="6"/>
        <v>193</v>
      </c>
      <c r="AQ14" s="8">
        <f t="shared" si="0"/>
        <v>0.5938461538461538</v>
      </c>
      <c r="AR14" s="6">
        <f t="shared" si="7"/>
        <v>8.6907020872865282E-2</v>
      </c>
      <c r="AS14" s="6">
        <f t="shared" si="8"/>
        <v>0.653572637995259</v>
      </c>
      <c r="AT14" s="6">
        <f t="shared" si="11"/>
        <v>0.38062512680970884</v>
      </c>
      <c r="AU14" s="6">
        <f t="shared" si="10"/>
        <v>0.14248058702001845</v>
      </c>
      <c r="AV14" s="5">
        <f t="shared" si="1"/>
        <v>0</v>
      </c>
      <c r="AW14" s="5">
        <f t="shared" si="2"/>
        <v>5</v>
      </c>
      <c r="AX14" s="5">
        <f t="shared" si="3"/>
        <v>0</v>
      </c>
      <c r="AY14" s="5">
        <f t="shared" si="4"/>
        <v>0</v>
      </c>
      <c r="AZ14" s="5">
        <f t="shared" si="9"/>
        <v>0</v>
      </c>
    </row>
    <row r="15" spans="1:52" x14ac:dyDescent="0.3">
      <c r="A15" s="5" t="s">
        <v>52</v>
      </c>
      <c r="B15" s="5" t="s">
        <v>56</v>
      </c>
      <c r="C15" s="5" t="s">
        <v>54</v>
      </c>
      <c r="D15" s="5" t="s">
        <v>56</v>
      </c>
      <c r="E15" s="5" t="s">
        <v>55</v>
      </c>
      <c r="F15" s="5">
        <v>2</v>
      </c>
      <c r="G15" s="5">
        <v>0.04</v>
      </c>
      <c r="H15" s="5" t="b">
        <v>0</v>
      </c>
      <c r="I15" s="5" t="b">
        <v>0</v>
      </c>
      <c r="J15" s="5" t="b">
        <v>0</v>
      </c>
      <c r="K15" s="5">
        <v>2.9529999999999998</v>
      </c>
      <c r="L15" s="5">
        <v>5.1999999999999998E-2</v>
      </c>
      <c r="M15" s="5">
        <v>-5.8000000000000003E-2</v>
      </c>
      <c r="N15" s="5">
        <v>69921.065000000002</v>
      </c>
      <c r="O15" s="5">
        <v>7.1999999999999995E-2</v>
      </c>
      <c r="P15" s="5">
        <v>5.0000000000000001E-3</v>
      </c>
      <c r="Q15" s="6">
        <v>1E-3</v>
      </c>
      <c r="R15" s="6">
        <v>0.18</v>
      </c>
      <c r="S15" s="7">
        <v>200.55600000000001</v>
      </c>
      <c r="T15" s="5">
        <v>1838.375</v>
      </c>
      <c r="U15" s="5">
        <v>1.6919999999999999</v>
      </c>
      <c r="V15" s="5">
        <v>2.339</v>
      </c>
      <c r="W15" s="5">
        <v>1.538</v>
      </c>
      <c r="X15" s="5">
        <v>4.891</v>
      </c>
      <c r="Y15" s="5">
        <v>10.464</v>
      </c>
      <c r="Z15" s="5">
        <v>305</v>
      </c>
      <c r="AA15" s="5">
        <v>5270</v>
      </c>
      <c r="AB15" s="5">
        <v>499</v>
      </c>
      <c r="AC15" s="5">
        <v>0.06</v>
      </c>
      <c r="AD15" s="5">
        <v>1</v>
      </c>
      <c r="AE15" s="5">
        <v>0</v>
      </c>
      <c r="AF15" s="5">
        <v>0</v>
      </c>
      <c r="AG15" s="5">
        <v>1</v>
      </c>
      <c r="AH15" s="5">
        <v>2.8</v>
      </c>
      <c r="AI15" s="5">
        <v>2.7658700000000001</v>
      </c>
      <c r="AJ15" s="5">
        <v>7.5399999999999998E-3</v>
      </c>
      <c r="AK15" s="5">
        <v>1.8960000000000001E-2</v>
      </c>
      <c r="AL15" s="5">
        <v>0</v>
      </c>
      <c r="AM15" s="5">
        <v>0</v>
      </c>
      <c r="AN15" s="5">
        <v>0.4</v>
      </c>
      <c r="AO15" s="6">
        <f t="shared" si="5"/>
        <v>5.7874762808349148E-2</v>
      </c>
      <c r="AP15" s="5">
        <f t="shared" si="6"/>
        <v>194</v>
      </c>
      <c r="AQ15" s="8">
        <f t="shared" si="0"/>
        <v>0.59692307692307689</v>
      </c>
      <c r="AR15" s="6">
        <f t="shared" si="7"/>
        <v>9.468690702087286E-2</v>
      </c>
      <c r="AS15" s="6">
        <f t="shared" si="8"/>
        <v>0.65695902472062306</v>
      </c>
      <c r="AT15" s="6">
        <f t="shared" si="11"/>
        <v>0.26006215516890518</v>
      </c>
      <c r="AU15" s="6">
        <f t="shared" si="10"/>
        <v>7.1766901105210293E-2</v>
      </c>
      <c r="AV15" s="5">
        <f t="shared" si="1"/>
        <v>0</v>
      </c>
      <c r="AW15" s="5">
        <f t="shared" si="2"/>
        <v>5</v>
      </c>
      <c r="AX15" s="5">
        <f t="shared" si="3"/>
        <v>0</v>
      </c>
      <c r="AY15" s="5">
        <f t="shared" si="4"/>
        <v>0</v>
      </c>
      <c r="AZ15" s="5">
        <f t="shared" si="9"/>
        <v>0</v>
      </c>
    </row>
    <row r="16" spans="1:52" x14ac:dyDescent="0.3">
      <c r="A16" s="5" t="s">
        <v>52</v>
      </c>
      <c r="B16" s="5" t="s">
        <v>56</v>
      </c>
      <c r="C16" s="5" t="s">
        <v>54</v>
      </c>
      <c r="D16" s="5" t="s">
        <v>56</v>
      </c>
      <c r="E16" s="5" t="s">
        <v>55</v>
      </c>
      <c r="F16" s="5">
        <v>2</v>
      </c>
      <c r="G16" s="5">
        <v>0.04</v>
      </c>
      <c r="H16" s="5" t="b">
        <v>0</v>
      </c>
      <c r="I16" s="5" t="b">
        <v>0</v>
      </c>
      <c r="J16" s="5" t="b">
        <v>0</v>
      </c>
      <c r="K16" s="5">
        <v>2.9529999999999998</v>
      </c>
      <c r="L16" s="5">
        <v>5.1999999999999998E-2</v>
      </c>
      <c r="M16" s="5">
        <v>-5.8000000000000003E-2</v>
      </c>
      <c r="N16" s="5">
        <v>69022.998999999996</v>
      </c>
      <c r="O16" s="5">
        <v>7.1999999999999995E-2</v>
      </c>
      <c r="P16" s="5">
        <v>5.0000000000000001E-3</v>
      </c>
      <c r="Q16" s="6">
        <v>1E-3</v>
      </c>
      <c r="R16" s="6">
        <v>0.18</v>
      </c>
      <c r="S16" s="7">
        <v>214.215</v>
      </c>
      <c r="T16" s="5">
        <v>1838.375</v>
      </c>
      <c r="U16" s="5">
        <v>1.56</v>
      </c>
      <c r="V16" s="5">
        <v>2.476</v>
      </c>
      <c r="W16" s="5">
        <v>1.7010000000000001</v>
      </c>
      <c r="X16" s="5">
        <v>3.8</v>
      </c>
      <c r="Y16" s="5">
        <v>9.5419999999999998</v>
      </c>
      <c r="Z16" s="5">
        <v>344</v>
      </c>
      <c r="AA16" s="5">
        <v>5270</v>
      </c>
      <c r="AB16" s="5">
        <v>540</v>
      </c>
      <c r="AC16" s="5">
        <v>0.06</v>
      </c>
      <c r="AD16" s="5">
        <v>1</v>
      </c>
      <c r="AE16" s="5">
        <v>0</v>
      </c>
      <c r="AF16" s="5">
        <v>0</v>
      </c>
      <c r="AG16" s="5">
        <v>1</v>
      </c>
      <c r="AH16" s="5">
        <v>2.84</v>
      </c>
      <c r="AI16" s="5">
        <v>2.8081299999999998</v>
      </c>
      <c r="AJ16" s="5">
        <v>3.0899999999999999E-3</v>
      </c>
      <c r="AK16" s="5">
        <v>1.3679999999999999E-2</v>
      </c>
      <c r="AL16" s="5">
        <v>0</v>
      </c>
      <c r="AM16" s="5">
        <v>0</v>
      </c>
      <c r="AN16" s="5">
        <v>0.36799999999999999</v>
      </c>
      <c r="AO16" s="6">
        <f t="shared" si="5"/>
        <v>6.5275142314990514E-2</v>
      </c>
      <c r="AP16" s="5">
        <f t="shared" si="6"/>
        <v>196</v>
      </c>
      <c r="AQ16" s="8">
        <f t="shared" si="0"/>
        <v>0.60307692307692307</v>
      </c>
      <c r="AR16" s="6">
        <f t="shared" si="7"/>
        <v>0.10246679316888045</v>
      </c>
      <c r="AS16" s="6">
        <f t="shared" si="8"/>
        <v>0.66373179817135119</v>
      </c>
      <c r="AT16" s="6">
        <f t="shared" si="11"/>
        <v>0.15390669527897405</v>
      </c>
      <c r="AU16" s="6">
        <f t="shared" si="10"/>
        <v>0.14642360348488184</v>
      </c>
      <c r="AV16" s="5">
        <f t="shared" si="1"/>
        <v>0</v>
      </c>
      <c r="AW16" s="5">
        <f t="shared" si="2"/>
        <v>5</v>
      </c>
      <c r="AX16" s="5">
        <f t="shared" si="3"/>
        <v>0</v>
      </c>
      <c r="AY16" s="5">
        <f t="shared" si="4"/>
        <v>0</v>
      </c>
      <c r="AZ16" s="5">
        <f t="shared" si="9"/>
        <v>0</v>
      </c>
    </row>
    <row r="17" spans="1:52" x14ac:dyDescent="0.3">
      <c r="A17" s="5" t="s">
        <v>52</v>
      </c>
      <c r="B17" s="5" t="s">
        <v>56</v>
      </c>
      <c r="C17" s="5" t="s">
        <v>54</v>
      </c>
      <c r="D17" s="5" t="s">
        <v>56</v>
      </c>
      <c r="E17" s="5" t="s">
        <v>55</v>
      </c>
      <c r="F17" s="5">
        <v>2</v>
      </c>
      <c r="G17" s="5">
        <v>0.04</v>
      </c>
      <c r="H17" s="5" t="b">
        <v>0</v>
      </c>
      <c r="I17" s="5" t="b">
        <v>0</v>
      </c>
      <c r="J17" s="5" t="b">
        <v>0</v>
      </c>
      <c r="K17" s="5">
        <v>2.9529999999999998</v>
      </c>
      <c r="L17" s="5">
        <v>5.1999999999999998E-2</v>
      </c>
      <c r="M17" s="5">
        <v>-5.8000000000000003E-2</v>
      </c>
      <c r="N17" s="5">
        <v>-116201.95299999999</v>
      </c>
      <c r="O17" s="5">
        <v>-4.2000000000000003E-2</v>
      </c>
      <c r="P17" s="5">
        <v>5.0000000000000001E-3</v>
      </c>
      <c r="Q17" s="6">
        <v>1E-3</v>
      </c>
      <c r="R17" s="6">
        <v>0.18</v>
      </c>
      <c r="S17" s="7">
        <v>226.923</v>
      </c>
      <c r="T17" s="5">
        <v>1838.375</v>
      </c>
      <c r="U17" s="5">
        <v>1.7849999999999999</v>
      </c>
      <c r="V17" s="5">
        <v>2.4529999999999998</v>
      </c>
      <c r="W17" s="5">
        <v>1.665</v>
      </c>
      <c r="X17" s="5">
        <v>3.8029999999999999</v>
      </c>
      <c r="Y17" s="5">
        <v>9.7100000000000009</v>
      </c>
      <c r="Z17" s="5">
        <v>380</v>
      </c>
      <c r="AA17" s="5">
        <v>5270</v>
      </c>
      <c r="AB17" s="5">
        <v>577</v>
      </c>
      <c r="AC17" s="5">
        <v>0.06</v>
      </c>
      <c r="AD17" s="5">
        <v>1</v>
      </c>
      <c r="AE17" s="5">
        <v>0</v>
      </c>
      <c r="AF17" s="5">
        <v>0</v>
      </c>
      <c r="AG17" s="5">
        <v>1</v>
      </c>
      <c r="AH17" s="5">
        <v>2.84</v>
      </c>
      <c r="AI17" s="5">
        <v>2.8154699999999999</v>
      </c>
      <c r="AJ17" s="5">
        <v>5.8E-4</v>
      </c>
      <c r="AK17" s="5">
        <v>8.7399999999999995E-3</v>
      </c>
      <c r="AL17" s="5">
        <v>0</v>
      </c>
      <c r="AM17" s="5">
        <v>0</v>
      </c>
      <c r="AN17" s="5">
        <v>0.34200000000000003</v>
      </c>
      <c r="AO17" s="6">
        <f t="shared" si="5"/>
        <v>7.2106261859582549E-2</v>
      </c>
      <c r="AP17" s="5">
        <f t="shared" si="6"/>
        <v>197</v>
      </c>
      <c r="AQ17" s="8">
        <f t="shared" si="0"/>
        <v>0.60615384615384615</v>
      </c>
      <c r="AR17" s="6">
        <f t="shared" si="7"/>
        <v>0.10948766603415559</v>
      </c>
      <c r="AS17" s="6">
        <f t="shared" si="8"/>
        <v>0.66711818489671515</v>
      </c>
      <c r="AT17" s="6">
        <f t="shared" si="11"/>
        <v>0.14023521076496484</v>
      </c>
      <c r="AU17" s="6">
        <f t="shared" si="10"/>
        <v>7.8690588605602782E-2</v>
      </c>
      <c r="AV17" s="5">
        <f t="shared" si="1"/>
        <v>0</v>
      </c>
      <c r="AW17" s="5">
        <f t="shared" si="2"/>
        <v>5</v>
      </c>
      <c r="AX17" s="5">
        <f t="shared" si="3"/>
        <v>0</v>
      </c>
      <c r="AY17" s="5">
        <f t="shared" si="4"/>
        <v>0</v>
      </c>
      <c r="AZ17" s="5">
        <f t="shared" si="9"/>
        <v>0</v>
      </c>
    </row>
    <row r="18" spans="1:52" x14ac:dyDescent="0.3">
      <c r="A18" s="5" t="s">
        <v>52</v>
      </c>
      <c r="B18" s="5" t="s">
        <v>56</v>
      </c>
      <c r="C18" s="5" t="s">
        <v>54</v>
      </c>
      <c r="D18" s="5" t="s">
        <v>56</v>
      </c>
      <c r="E18" s="5" t="s">
        <v>55</v>
      </c>
      <c r="F18" s="5">
        <v>2</v>
      </c>
      <c r="G18" s="5">
        <v>0.04</v>
      </c>
      <c r="H18" s="5" t="b">
        <v>0</v>
      </c>
      <c r="I18" s="5" t="b">
        <v>0</v>
      </c>
      <c r="J18" s="5" t="b">
        <v>0</v>
      </c>
      <c r="K18" s="5">
        <v>2.9529999999999998</v>
      </c>
      <c r="L18" s="5">
        <v>5.1999999999999998E-2</v>
      </c>
      <c r="M18" s="5">
        <v>-5.8000000000000003E-2</v>
      </c>
      <c r="N18" s="5">
        <v>-5850241.9519999996</v>
      </c>
      <c r="O18" s="5">
        <v>-1E-3</v>
      </c>
      <c r="P18" s="5">
        <v>5.0000000000000001E-3</v>
      </c>
      <c r="Q18" s="6">
        <v>1E-3</v>
      </c>
      <c r="R18" s="6">
        <v>0.18</v>
      </c>
      <c r="S18" s="7">
        <v>240.13200000000001</v>
      </c>
      <c r="T18" s="5">
        <v>1838.375</v>
      </c>
      <c r="U18" s="5">
        <v>1.766</v>
      </c>
      <c r="V18" s="5">
        <v>2.375</v>
      </c>
      <c r="W18" s="5">
        <v>1.548</v>
      </c>
      <c r="X18" s="5">
        <v>3.835</v>
      </c>
      <c r="Y18" s="5">
        <v>9.5280000000000005</v>
      </c>
      <c r="Z18" s="5">
        <v>418</v>
      </c>
      <c r="AA18" s="5">
        <v>5270</v>
      </c>
      <c r="AB18" s="5">
        <v>615</v>
      </c>
      <c r="AC18" s="5">
        <v>0.06</v>
      </c>
      <c r="AD18" s="5">
        <v>1</v>
      </c>
      <c r="AE18" s="5">
        <v>0</v>
      </c>
      <c r="AF18" s="5">
        <v>0</v>
      </c>
      <c r="AG18" s="5">
        <v>1</v>
      </c>
      <c r="AH18" s="5">
        <v>2.86</v>
      </c>
      <c r="AI18" s="5">
        <v>2.8572899999999999</v>
      </c>
      <c r="AJ18" s="5">
        <v>3.1700000000000001E-3</v>
      </c>
      <c r="AK18" s="5">
        <v>5.8399999999999997E-3</v>
      </c>
      <c r="AL18" s="5">
        <v>0</v>
      </c>
      <c r="AM18" s="5">
        <v>0</v>
      </c>
      <c r="AN18" s="5">
        <v>0.317</v>
      </c>
      <c r="AO18" s="6">
        <f t="shared" si="5"/>
        <v>7.9316888045540795E-2</v>
      </c>
      <c r="AP18" s="5">
        <f t="shared" si="6"/>
        <v>197</v>
      </c>
      <c r="AQ18" s="8">
        <f t="shared" si="0"/>
        <v>0.60615384615384615</v>
      </c>
      <c r="AR18" s="6">
        <f t="shared" si="7"/>
        <v>0.11669829222011385</v>
      </c>
      <c r="AS18" s="6">
        <f t="shared" si="8"/>
        <v>0.66711818489671515</v>
      </c>
      <c r="AT18" s="6">
        <f t="shared" si="11"/>
        <v>8.7872336043142679E-2</v>
      </c>
      <c r="AU18" s="6">
        <f t="shared" si="10"/>
        <v>0</v>
      </c>
      <c r="AV18" s="5">
        <f t="shared" si="1"/>
        <v>0</v>
      </c>
      <c r="AW18" s="5">
        <f t="shared" si="2"/>
        <v>5</v>
      </c>
      <c r="AX18" s="5">
        <f t="shared" si="3"/>
        <v>0</v>
      </c>
      <c r="AY18" s="5">
        <f t="shared" si="4"/>
        <v>0</v>
      </c>
      <c r="AZ18" s="5">
        <f t="shared" si="9"/>
        <v>0</v>
      </c>
    </row>
    <row r="19" spans="1:52" x14ac:dyDescent="0.3">
      <c r="A19" s="5" t="s">
        <v>52</v>
      </c>
      <c r="B19" s="5" t="s">
        <v>56</v>
      </c>
      <c r="C19" s="5" t="s">
        <v>54</v>
      </c>
      <c r="D19" s="5" t="s">
        <v>56</v>
      </c>
      <c r="E19" s="5" t="s">
        <v>55</v>
      </c>
      <c r="F19" s="5">
        <v>2</v>
      </c>
      <c r="G19" s="5">
        <v>0.04</v>
      </c>
      <c r="H19" s="5" t="b">
        <v>0</v>
      </c>
      <c r="I19" s="5" t="b">
        <v>0</v>
      </c>
      <c r="J19" s="5" t="b">
        <v>0</v>
      </c>
      <c r="K19" s="5">
        <v>2.9529999999999998</v>
      </c>
      <c r="L19" s="5">
        <v>5.1999999999999998E-2</v>
      </c>
      <c r="M19" s="5">
        <v>-5.8000000000000003E-2</v>
      </c>
      <c r="N19" s="5">
        <v>41811.203999999998</v>
      </c>
      <c r="O19" s="5">
        <v>0.11600000000000001</v>
      </c>
      <c r="P19" s="5">
        <v>5.0000000000000001E-3</v>
      </c>
      <c r="Q19" s="6">
        <v>1E-3</v>
      </c>
      <c r="R19" s="6">
        <v>0.18</v>
      </c>
      <c r="S19" s="7">
        <v>253.08500000000001</v>
      </c>
      <c r="T19" s="5">
        <v>1838.375</v>
      </c>
      <c r="U19" s="5">
        <v>1.873</v>
      </c>
      <c r="V19" s="5">
        <v>2.5350000000000001</v>
      </c>
      <c r="W19" s="5">
        <v>2.0750000000000002</v>
      </c>
      <c r="X19" s="5">
        <v>4.218</v>
      </c>
      <c r="Y19" s="5">
        <v>10.704000000000001</v>
      </c>
      <c r="Z19" s="5">
        <v>455</v>
      </c>
      <c r="AA19" s="5">
        <v>5270</v>
      </c>
      <c r="AB19" s="5">
        <v>654</v>
      </c>
      <c r="AC19" s="5">
        <v>0.06</v>
      </c>
      <c r="AD19" s="5">
        <v>1</v>
      </c>
      <c r="AE19" s="5">
        <v>0</v>
      </c>
      <c r="AF19" s="5">
        <v>0</v>
      </c>
      <c r="AG19" s="5">
        <v>1</v>
      </c>
      <c r="AH19" s="5">
        <v>2.86</v>
      </c>
      <c r="AI19" s="5">
        <v>2.8587500000000001</v>
      </c>
      <c r="AJ19" s="5">
        <v>1.1E-4</v>
      </c>
      <c r="AK19" s="5">
        <v>2.98E-3</v>
      </c>
      <c r="AL19" s="5">
        <v>0</v>
      </c>
      <c r="AM19" s="5">
        <v>0</v>
      </c>
      <c r="AN19" s="5">
        <v>0.313</v>
      </c>
      <c r="AO19" s="6">
        <f t="shared" si="5"/>
        <v>8.6337760910815936E-2</v>
      </c>
      <c r="AP19" s="5">
        <f t="shared" si="6"/>
        <v>199</v>
      </c>
      <c r="AQ19" s="8">
        <f t="shared" si="0"/>
        <v>0.61230769230769233</v>
      </c>
      <c r="AR19" s="6">
        <f t="shared" si="7"/>
        <v>0.12409867172675522</v>
      </c>
      <c r="AS19" s="6">
        <f t="shared" si="8"/>
        <v>0.67389095834744328</v>
      </c>
      <c r="AT19" s="6">
        <f t="shared" si="11"/>
        <v>9.0257095656046255E-2</v>
      </c>
      <c r="AU19" s="6">
        <f t="shared" si="10"/>
        <v>0.15440438508453636</v>
      </c>
      <c r="AV19" s="5">
        <f t="shared" si="1"/>
        <v>0</v>
      </c>
      <c r="AW19" s="5">
        <f t="shared" si="2"/>
        <v>5</v>
      </c>
      <c r="AX19" s="5">
        <f t="shared" si="3"/>
        <v>0</v>
      </c>
      <c r="AY19" s="5">
        <f t="shared" si="4"/>
        <v>0</v>
      </c>
      <c r="AZ19" s="5">
        <f t="shared" si="9"/>
        <v>0</v>
      </c>
    </row>
    <row r="20" spans="1:52" x14ac:dyDescent="0.3">
      <c r="A20" s="5" t="s">
        <v>52</v>
      </c>
      <c r="B20" s="5" t="s">
        <v>56</v>
      </c>
      <c r="C20" s="5" t="s">
        <v>54</v>
      </c>
      <c r="D20" s="5" t="s">
        <v>56</v>
      </c>
      <c r="E20" s="5" t="s">
        <v>55</v>
      </c>
      <c r="F20" s="5">
        <v>2</v>
      </c>
      <c r="G20" s="5">
        <v>0.04</v>
      </c>
      <c r="H20" s="5" t="b">
        <v>0</v>
      </c>
      <c r="I20" s="5" t="b">
        <v>0</v>
      </c>
      <c r="J20" s="5" t="b">
        <v>0</v>
      </c>
      <c r="K20" s="5">
        <v>2.9529999999999998</v>
      </c>
      <c r="L20" s="5">
        <v>5.1999999999999998E-2</v>
      </c>
      <c r="M20" s="5">
        <v>-5.8000000000000003E-2</v>
      </c>
      <c r="N20" s="5">
        <v>22366.84</v>
      </c>
      <c r="O20" s="5">
        <v>0.215</v>
      </c>
      <c r="P20" s="5">
        <v>5.0000000000000001E-3</v>
      </c>
      <c r="Q20" s="6">
        <v>1E-3</v>
      </c>
      <c r="R20" s="6">
        <v>0.18</v>
      </c>
      <c r="S20" s="7">
        <v>267.26400000000001</v>
      </c>
      <c r="T20" s="5">
        <v>1838.375</v>
      </c>
      <c r="U20" s="5">
        <v>1.9930000000000001</v>
      </c>
      <c r="V20" s="5">
        <v>2.5859999999999999</v>
      </c>
      <c r="W20" s="5">
        <v>1.893</v>
      </c>
      <c r="X20" s="5">
        <v>4.1589999999999998</v>
      </c>
      <c r="Y20" s="5">
        <v>10.635</v>
      </c>
      <c r="Z20" s="5">
        <v>496</v>
      </c>
      <c r="AA20" s="5">
        <v>5270</v>
      </c>
      <c r="AB20" s="5">
        <v>696</v>
      </c>
      <c r="AC20" s="5">
        <v>0.06</v>
      </c>
      <c r="AD20" s="5">
        <v>1</v>
      </c>
      <c r="AE20" s="5">
        <v>0</v>
      </c>
      <c r="AF20" s="5">
        <v>0</v>
      </c>
      <c r="AG20" s="5">
        <v>1</v>
      </c>
      <c r="AH20" s="5">
        <v>2.86</v>
      </c>
      <c r="AI20" s="5">
        <v>2.86321</v>
      </c>
      <c r="AJ20" s="5">
        <v>3.1E-4</v>
      </c>
      <c r="AK20" s="5">
        <v>1.4599999999999999E-3</v>
      </c>
      <c r="AL20" s="5">
        <v>0</v>
      </c>
      <c r="AM20" s="5">
        <v>0</v>
      </c>
      <c r="AN20" s="5">
        <v>0.30599999999999999</v>
      </c>
      <c r="AO20" s="6">
        <f t="shared" si="5"/>
        <v>9.4117647058823528E-2</v>
      </c>
      <c r="AP20" s="5">
        <f t="shared" si="6"/>
        <v>200</v>
      </c>
      <c r="AQ20" s="8">
        <f t="shared" si="0"/>
        <v>0.61538461538461542</v>
      </c>
      <c r="AR20" s="6">
        <f t="shared" si="7"/>
        <v>0.13206831119544593</v>
      </c>
      <c r="AS20" s="6">
        <f t="shared" si="8"/>
        <v>0.67727734507280724</v>
      </c>
      <c r="AT20" s="6">
        <f t="shared" si="11"/>
        <v>9.000908252718276E-2</v>
      </c>
      <c r="AU20" s="6">
        <f t="shared" si="10"/>
        <v>7.0526835460892862E-2</v>
      </c>
      <c r="AV20" s="5">
        <f t="shared" si="1"/>
        <v>0</v>
      </c>
      <c r="AW20" s="5">
        <f t="shared" si="2"/>
        <v>5</v>
      </c>
      <c r="AX20" s="5">
        <f t="shared" si="3"/>
        <v>0</v>
      </c>
      <c r="AY20" s="5">
        <f t="shared" si="4"/>
        <v>0</v>
      </c>
      <c r="AZ20" s="5">
        <f t="shared" si="9"/>
        <v>0</v>
      </c>
    </row>
    <row r="21" spans="1:52" x14ac:dyDescent="0.3">
      <c r="A21" s="5" t="s">
        <v>52</v>
      </c>
      <c r="B21" s="5" t="s">
        <v>56</v>
      </c>
      <c r="C21" s="5" t="s">
        <v>54</v>
      </c>
      <c r="D21" s="5" t="s">
        <v>56</v>
      </c>
      <c r="E21" s="5" t="s">
        <v>55</v>
      </c>
      <c r="F21" s="5">
        <v>2</v>
      </c>
      <c r="G21" s="5">
        <v>0.04</v>
      </c>
      <c r="H21" s="5" t="b">
        <v>0</v>
      </c>
      <c r="I21" s="5" t="b">
        <v>0</v>
      </c>
      <c r="J21" s="5" t="b">
        <v>0</v>
      </c>
      <c r="K21" s="5">
        <v>2.9529999999999998</v>
      </c>
      <c r="L21" s="5">
        <v>5.1999999999999998E-2</v>
      </c>
      <c r="M21" s="5">
        <v>-5.8000000000000003E-2</v>
      </c>
      <c r="N21" s="5">
        <v>26987.267</v>
      </c>
      <c r="O21" s="5">
        <v>0.17699999999999999</v>
      </c>
      <c r="P21" s="5">
        <v>5.0000000000000001E-3</v>
      </c>
      <c r="Q21" s="6">
        <v>1E-3</v>
      </c>
      <c r="R21" s="6">
        <v>0.18</v>
      </c>
      <c r="S21" s="7">
        <v>281.33499999999998</v>
      </c>
      <c r="T21" s="5">
        <v>1838.375</v>
      </c>
      <c r="U21" s="5">
        <v>1.8280000000000001</v>
      </c>
      <c r="V21" s="5">
        <v>3</v>
      </c>
      <c r="W21" s="5">
        <v>1.609</v>
      </c>
      <c r="X21" s="5">
        <v>3.7160000000000002</v>
      </c>
      <c r="Y21" s="5">
        <v>10.156000000000001</v>
      </c>
      <c r="Z21" s="5">
        <v>536</v>
      </c>
      <c r="AA21" s="5">
        <v>5270</v>
      </c>
      <c r="AB21" s="5">
        <v>737</v>
      </c>
      <c r="AC21" s="5">
        <v>0.06</v>
      </c>
      <c r="AD21" s="5">
        <v>1</v>
      </c>
      <c r="AE21" s="5">
        <v>0</v>
      </c>
      <c r="AF21" s="5">
        <v>0</v>
      </c>
      <c r="AG21" s="5">
        <v>1</v>
      </c>
      <c r="AH21" s="5">
        <v>2.86</v>
      </c>
      <c r="AI21" s="5">
        <v>2.86056</v>
      </c>
      <c r="AJ21" s="5">
        <v>-1.9000000000000001E-4</v>
      </c>
      <c r="AK21" s="5">
        <v>7.7999999999999999E-4</v>
      </c>
      <c r="AL21" s="5">
        <v>0</v>
      </c>
      <c r="AM21" s="5">
        <v>0</v>
      </c>
      <c r="AN21" s="5">
        <v>0.29799999999999999</v>
      </c>
      <c r="AO21" s="6">
        <f t="shared" si="5"/>
        <v>0.10170777988614801</v>
      </c>
      <c r="AP21" s="5">
        <f t="shared" si="6"/>
        <v>201</v>
      </c>
      <c r="AQ21" s="8">
        <f t="shared" si="0"/>
        <v>0.61846153846153851</v>
      </c>
      <c r="AR21" s="6">
        <f t="shared" si="7"/>
        <v>0.13984819734345352</v>
      </c>
      <c r="AS21" s="6">
        <f t="shared" si="8"/>
        <v>0.6806637317981713</v>
      </c>
      <c r="AT21" s="6">
        <f t="shared" si="11"/>
        <v>7.4937992702212686E-2</v>
      </c>
      <c r="AU21" s="6">
        <f t="shared" si="10"/>
        <v>7.106815436003143E-2</v>
      </c>
      <c r="AV21" s="5">
        <f t="shared" si="1"/>
        <v>0</v>
      </c>
      <c r="AW21" s="5">
        <f t="shared" si="2"/>
        <v>5</v>
      </c>
      <c r="AX21" s="5">
        <f t="shared" si="3"/>
        <v>0</v>
      </c>
      <c r="AY21" s="5">
        <f t="shared" si="4"/>
        <v>0</v>
      </c>
      <c r="AZ21" s="5">
        <f t="shared" si="9"/>
        <v>0</v>
      </c>
    </row>
    <row r="22" spans="1:52" x14ac:dyDescent="0.3">
      <c r="A22" s="5" t="s">
        <v>57</v>
      </c>
      <c r="B22" s="5" t="s">
        <v>56</v>
      </c>
      <c r="C22" s="5" t="s">
        <v>54</v>
      </c>
      <c r="D22" s="5" t="s">
        <v>58</v>
      </c>
      <c r="E22" s="5" t="s">
        <v>55</v>
      </c>
      <c r="F22" s="5">
        <v>2</v>
      </c>
      <c r="G22" s="5">
        <v>0.04</v>
      </c>
      <c r="H22" s="5" t="b">
        <v>0</v>
      </c>
      <c r="I22" s="5" t="b">
        <v>0</v>
      </c>
      <c r="J22" s="5" t="b">
        <v>0</v>
      </c>
      <c r="K22" s="5">
        <v>2.9529999999999998</v>
      </c>
      <c r="L22" s="5">
        <v>5.1999999999999998E-2</v>
      </c>
      <c r="M22" s="5">
        <v>-5.8000000000000003E-2</v>
      </c>
      <c r="N22" s="5">
        <v>0</v>
      </c>
      <c r="O22" s="5">
        <v>0</v>
      </c>
      <c r="P22" s="5">
        <v>5.0000000000000001E-3</v>
      </c>
      <c r="Q22" s="6">
        <v>1E-3</v>
      </c>
      <c r="R22" s="6">
        <v>0.18</v>
      </c>
      <c r="S22" s="7">
        <v>294.14800000000002</v>
      </c>
      <c r="T22" s="5">
        <v>1838.375</v>
      </c>
      <c r="U22" s="5">
        <v>1.571</v>
      </c>
      <c r="V22" s="5">
        <v>2.226</v>
      </c>
      <c r="W22" s="5">
        <v>1.401</v>
      </c>
      <c r="X22" s="5">
        <v>3.601</v>
      </c>
      <c r="Y22" s="5">
        <v>8.8030000000000008</v>
      </c>
      <c r="Z22" s="5">
        <v>572</v>
      </c>
      <c r="AA22" s="5">
        <v>5270</v>
      </c>
      <c r="AB22" s="5">
        <v>777</v>
      </c>
      <c r="AC22" s="5">
        <v>0.06</v>
      </c>
      <c r="AD22" s="5">
        <v>1</v>
      </c>
      <c r="AE22" s="5">
        <v>0.08</v>
      </c>
      <c r="AF22" s="5">
        <v>0</v>
      </c>
      <c r="AG22" s="5">
        <v>1</v>
      </c>
      <c r="AH22" s="5">
        <v>2.82</v>
      </c>
      <c r="AI22" s="5">
        <v>2.8560400000000001</v>
      </c>
      <c r="AJ22" s="5">
        <v>-3.5E-4</v>
      </c>
      <c r="AK22" s="5">
        <v>5.9999999999999995E-4</v>
      </c>
      <c r="AL22" s="5">
        <v>0</v>
      </c>
      <c r="AM22" s="5">
        <v>0</v>
      </c>
      <c r="AN22" s="5">
        <v>0.29499999999999998</v>
      </c>
      <c r="AO22" s="6">
        <f t="shared" si="5"/>
        <v>0.10853889943074004</v>
      </c>
      <c r="AP22" s="5">
        <f t="shared" si="6"/>
        <v>205</v>
      </c>
      <c r="AQ22" s="8">
        <f t="shared" si="0"/>
        <v>0.63076923076923075</v>
      </c>
      <c r="AR22" s="6">
        <f t="shared" si="7"/>
        <v>0.14743833017077798</v>
      </c>
      <c r="AS22" s="6">
        <f t="shared" si="8"/>
        <v>0.69420927869962745</v>
      </c>
      <c r="AT22" s="6">
        <f t="shared" si="11"/>
        <v>0.12163646282156644</v>
      </c>
      <c r="AU22" s="6">
        <f t="shared" si="10"/>
        <v>0.3121829392023715</v>
      </c>
      <c r="AV22" s="5">
        <f t="shared" si="1"/>
        <v>0</v>
      </c>
      <c r="AW22" s="5">
        <f t="shared" si="2"/>
        <v>5</v>
      </c>
      <c r="AX22" s="5">
        <f t="shared" si="3"/>
        <v>0</v>
      </c>
      <c r="AY22" s="5">
        <f t="shared" si="4"/>
        <v>0</v>
      </c>
      <c r="AZ22" s="5">
        <f t="shared" si="9"/>
        <v>0</v>
      </c>
    </row>
    <row r="23" spans="1:52" x14ac:dyDescent="0.3">
      <c r="A23" s="5" t="s">
        <v>52</v>
      </c>
      <c r="B23" s="5" t="s">
        <v>56</v>
      </c>
      <c r="C23" s="5" t="s">
        <v>54</v>
      </c>
      <c r="D23" s="5" t="s">
        <v>56</v>
      </c>
      <c r="E23" s="5" t="s">
        <v>55</v>
      </c>
      <c r="F23" s="5">
        <v>2</v>
      </c>
      <c r="G23" s="5">
        <v>0.04</v>
      </c>
      <c r="H23" s="5" t="b">
        <v>0</v>
      </c>
      <c r="I23" s="5" t="b">
        <v>0</v>
      </c>
      <c r="J23" s="5" t="b">
        <v>0</v>
      </c>
      <c r="K23" s="5">
        <v>2.9529999999999998</v>
      </c>
      <c r="L23" s="5">
        <v>5.1999999999999998E-2</v>
      </c>
      <c r="M23" s="5">
        <v>-5.8000000000000003E-2</v>
      </c>
      <c r="N23" s="5">
        <v>-53842.612999999998</v>
      </c>
      <c r="O23" s="5">
        <v>-8.6999999999999994E-2</v>
      </c>
      <c r="P23" s="5">
        <v>5.0000000000000001E-3</v>
      </c>
      <c r="Q23" s="6">
        <v>1E-3</v>
      </c>
      <c r="R23" s="6">
        <v>0.18</v>
      </c>
      <c r="S23" s="7">
        <v>305.60199999999998</v>
      </c>
      <c r="T23" s="5">
        <v>1838.375</v>
      </c>
      <c r="U23" s="5">
        <v>1.5389999999999999</v>
      </c>
      <c r="V23" s="5">
        <v>2.2280000000000002</v>
      </c>
      <c r="W23" s="5">
        <v>1.5069999999999999</v>
      </c>
      <c r="X23" s="5">
        <v>3.5680000000000001</v>
      </c>
      <c r="Y23" s="5">
        <v>8.8450000000000006</v>
      </c>
      <c r="Z23" s="5">
        <v>605</v>
      </c>
      <c r="AA23" s="5">
        <v>5270</v>
      </c>
      <c r="AB23" s="5">
        <v>811</v>
      </c>
      <c r="AC23" s="5">
        <v>0.06</v>
      </c>
      <c r="AD23" s="5">
        <v>1</v>
      </c>
      <c r="AE23" s="5">
        <v>0</v>
      </c>
      <c r="AF23" s="5">
        <v>0</v>
      </c>
      <c r="AG23" s="5">
        <v>1</v>
      </c>
      <c r="AH23" s="5">
        <v>2.86</v>
      </c>
      <c r="AI23" s="5">
        <v>2.8562599999999998</v>
      </c>
      <c r="AJ23" s="5">
        <v>2.0000000000000002E-5</v>
      </c>
      <c r="AK23" s="5">
        <v>-2.0000000000000002E-5</v>
      </c>
      <c r="AL23" s="5">
        <v>0</v>
      </c>
      <c r="AM23" s="5">
        <v>0</v>
      </c>
      <c r="AN23" s="5">
        <v>0.29799999999999999</v>
      </c>
      <c r="AO23" s="6">
        <f t="shared" si="5"/>
        <v>0.11480075901328274</v>
      </c>
      <c r="AP23" s="5">
        <f t="shared" si="6"/>
        <v>206</v>
      </c>
      <c r="AQ23" s="8">
        <f t="shared" si="0"/>
        <v>0.63384615384615384</v>
      </c>
      <c r="AR23" s="6">
        <f t="shared" si="7"/>
        <v>0.1538899430740038</v>
      </c>
      <c r="AS23" s="6">
        <f t="shared" si="8"/>
        <v>0.69759566542499152</v>
      </c>
      <c r="AT23" s="6">
        <f t="shared" si="11"/>
        <v>0.139097611765167</v>
      </c>
      <c r="AU23" s="6">
        <f t="shared" si="10"/>
        <v>8.7305744718002815E-2</v>
      </c>
      <c r="AV23" s="5">
        <f t="shared" si="1"/>
        <v>0</v>
      </c>
      <c r="AW23" s="5">
        <f t="shared" si="2"/>
        <v>5</v>
      </c>
      <c r="AX23" s="5">
        <f t="shared" si="3"/>
        <v>0</v>
      </c>
      <c r="AY23" s="5">
        <f t="shared" si="4"/>
        <v>0</v>
      </c>
      <c r="AZ23" s="5">
        <f t="shared" si="9"/>
        <v>0</v>
      </c>
    </row>
    <row r="24" spans="1:52" x14ac:dyDescent="0.3">
      <c r="A24" s="5" t="s">
        <v>52</v>
      </c>
      <c r="B24" s="5" t="s">
        <v>56</v>
      </c>
      <c r="C24" s="5" t="s">
        <v>54</v>
      </c>
      <c r="D24" s="5" t="s">
        <v>56</v>
      </c>
      <c r="E24" s="5" t="s">
        <v>55</v>
      </c>
      <c r="F24" s="5">
        <v>2</v>
      </c>
      <c r="G24" s="5">
        <v>0.04</v>
      </c>
      <c r="H24" s="5" t="b">
        <v>0</v>
      </c>
      <c r="I24" s="5" t="b">
        <v>0</v>
      </c>
      <c r="J24" s="5" t="b">
        <v>0</v>
      </c>
      <c r="K24" s="5">
        <v>2.9529999999999998</v>
      </c>
      <c r="L24" s="5">
        <v>5.1999999999999998E-2</v>
      </c>
      <c r="M24" s="5">
        <v>-5.8000000000000003E-2</v>
      </c>
      <c r="N24" s="5">
        <v>-106604.258</v>
      </c>
      <c r="O24" s="5">
        <v>-4.3999999999999997E-2</v>
      </c>
      <c r="P24" s="5">
        <v>5.0000000000000001E-3</v>
      </c>
      <c r="Q24" s="6">
        <v>1E-3</v>
      </c>
      <c r="R24" s="6">
        <v>0.18</v>
      </c>
      <c r="S24" s="7">
        <v>317.81</v>
      </c>
      <c r="T24" s="5">
        <v>1838.375</v>
      </c>
      <c r="U24" s="5">
        <v>1.5109999999999999</v>
      </c>
      <c r="V24" s="5">
        <v>2.17</v>
      </c>
      <c r="W24" s="5">
        <v>1.5489999999999999</v>
      </c>
      <c r="X24" s="5">
        <v>3.601</v>
      </c>
      <c r="Y24" s="5">
        <v>8.8350000000000009</v>
      </c>
      <c r="Z24" s="5">
        <v>640</v>
      </c>
      <c r="AA24" s="5">
        <v>5270</v>
      </c>
      <c r="AB24" s="5">
        <v>845</v>
      </c>
      <c r="AC24" s="5">
        <v>0.06</v>
      </c>
      <c r="AD24" s="5">
        <v>1</v>
      </c>
      <c r="AE24" s="5">
        <v>0</v>
      </c>
      <c r="AF24" s="5">
        <v>0</v>
      </c>
      <c r="AG24" s="5">
        <v>1</v>
      </c>
      <c r="AH24" s="5">
        <v>2.84</v>
      </c>
      <c r="AI24" s="5">
        <v>2.8582200000000002</v>
      </c>
      <c r="AJ24" s="5">
        <v>1.6000000000000001E-4</v>
      </c>
      <c r="AK24" s="5">
        <v>-1.0000000000000001E-5</v>
      </c>
      <c r="AL24" s="5">
        <v>0</v>
      </c>
      <c r="AM24" s="5">
        <v>0</v>
      </c>
      <c r="AN24" s="5">
        <v>0.29499999999999998</v>
      </c>
      <c r="AO24" s="6">
        <f t="shared" si="5"/>
        <v>0.12144212523719165</v>
      </c>
      <c r="AP24" s="5">
        <f t="shared" si="6"/>
        <v>205</v>
      </c>
      <c r="AQ24" s="8">
        <f t="shared" si="0"/>
        <v>0.63076923076923075</v>
      </c>
      <c r="AR24" s="6">
        <f t="shared" si="7"/>
        <v>0.1603415559772296</v>
      </c>
      <c r="AS24" s="6">
        <f t="shared" si="8"/>
        <v>0.69420927869962745</v>
      </c>
      <c r="AT24" s="6">
        <f t="shared" si="11"/>
        <v>9.1834034879321361E-2</v>
      </c>
      <c r="AU24" s="6">
        <f t="shared" si="10"/>
        <v>-8.1913499344691831E-2</v>
      </c>
      <c r="AV24" s="5">
        <f t="shared" si="1"/>
        <v>0</v>
      </c>
      <c r="AW24" s="5">
        <f t="shared" si="2"/>
        <v>5</v>
      </c>
      <c r="AX24" s="5">
        <f t="shared" si="3"/>
        <v>0</v>
      </c>
      <c r="AY24" s="5">
        <f t="shared" si="4"/>
        <v>0</v>
      </c>
      <c r="AZ24" s="5">
        <f t="shared" si="9"/>
        <v>0</v>
      </c>
    </row>
    <row r="25" spans="1:52" x14ac:dyDescent="0.3">
      <c r="A25" s="5" t="s">
        <v>52</v>
      </c>
      <c r="B25" s="5" t="s">
        <v>56</v>
      </c>
      <c r="C25" s="5" t="s">
        <v>54</v>
      </c>
      <c r="D25" s="5" t="s">
        <v>56</v>
      </c>
      <c r="E25" s="5" t="s">
        <v>55</v>
      </c>
      <c r="F25" s="5">
        <v>2</v>
      </c>
      <c r="G25" s="5">
        <v>0.04</v>
      </c>
      <c r="H25" s="5" t="b">
        <v>0</v>
      </c>
      <c r="I25" s="5" t="b">
        <v>0</v>
      </c>
      <c r="J25" s="5" t="b">
        <v>0</v>
      </c>
      <c r="K25" s="5">
        <v>2.9529999999999998</v>
      </c>
      <c r="L25" s="5">
        <v>5.1999999999999998E-2</v>
      </c>
      <c r="M25" s="5">
        <v>-5.8000000000000003E-2</v>
      </c>
      <c r="N25" s="5">
        <v>54803.033000000003</v>
      </c>
      <c r="O25" s="5">
        <v>8.4000000000000005E-2</v>
      </c>
      <c r="P25" s="5">
        <v>5.0000000000000001E-3</v>
      </c>
      <c r="Q25" s="6">
        <v>1E-3</v>
      </c>
      <c r="R25" s="6">
        <v>0.18</v>
      </c>
      <c r="S25" s="7">
        <v>329.31099999999998</v>
      </c>
      <c r="T25" s="5">
        <v>1838.375</v>
      </c>
      <c r="U25" s="5">
        <v>1.5920000000000001</v>
      </c>
      <c r="V25" s="5">
        <v>2.2440000000000002</v>
      </c>
      <c r="W25" s="5">
        <v>1.5840000000000001</v>
      </c>
      <c r="X25" s="5">
        <v>3.556</v>
      </c>
      <c r="Y25" s="5">
        <v>8.98</v>
      </c>
      <c r="Z25" s="5">
        <v>673</v>
      </c>
      <c r="AA25" s="5">
        <v>5270</v>
      </c>
      <c r="AB25" s="5">
        <v>881</v>
      </c>
      <c r="AC25" s="5">
        <v>0.06</v>
      </c>
      <c r="AD25" s="5">
        <v>1</v>
      </c>
      <c r="AE25" s="5">
        <v>0</v>
      </c>
      <c r="AF25" s="5">
        <v>0</v>
      </c>
      <c r="AG25" s="5">
        <v>1</v>
      </c>
      <c r="AH25" s="5">
        <v>2.86</v>
      </c>
      <c r="AI25" s="5">
        <v>2.8526799999999999</v>
      </c>
      <c r="AJ25" s="5">
        <v>-4.8000000000000001E-4</v>
      </c>
      <c r="AK25" s="5">
        <v>-1.7000000000000001E-4</v>
      </c>
      <c r="AL25" s="5">
        <v>0</v>
      </c>
      <c r="AM25" s="5">
        <v>0</v>
      </c>
      <c r="AN25" s="5">
        <v>0.29499999999999998</v>
      </c>
      <c r="AO25" s="6">
        <f t="shared" si="5"/>
        <v>0.12770398481973436</v>
      </c>
      <c r="AP25" s="5">
        <f t="shared" si="6"/>
        <v>208</v>
      </c>
      <c r="AQ25" s="8">
        <f t="shared" si="0"/>
        <v>0.64</v>
      </c>
      <c r="AR25" s="6">
        <f t="shared" si="7"/>
        <v>0.16717267552182163</v>
      </c>
      <c r="AS25" s="6">
        <f t="shared" si="8"/>
        <v>0.70436843887571954</v>
      </c>
      <c r="AT25" s="6">
        <f t="shared" si="11"/>
        <v>0.1298980443630928</v>
      </c>
      <c r="AU25" s="6">
        <f t="shared" si="10"/>
        <v>0.26084688287975011</v>
      </c>
      <c r="AV25" s="5">
        <f t="shared" si="1"/>
        <v>0</v>
      </c>
      <c r="AW25" s="5">
        <f t="shared" si="2"/>
        <v>5</v>
      </c>
      <c r="AX25" s="5">
        <f t="shared" si="3"/>
        <v>0</v>
      </c>
      <c r="AY25" s="5">
        <f t="shared" si="4"/>
        <v>0</v>
      </c>
      <c r="AZ25" s="5">
        <f t="shared" si="9"/>
        <v>0</v>
      </c>
    </row>
    <row r="26" spans="1:52" x14ac:dyDescent="0.3">
      <c r="A26" s="5" t="s">
        <v>52</v>
      </c>
      <c r="B26" s="5" t="s">
        <v>56</v>
      </c>
      <c r="C26" s="5" t="s">
        <v>54</v>
      </c>
      <c r="D26" s="5" t="s">
        <v>56</v>
      </c>
      <c r="E26" s="5" t="s">
        <v>55</v>
      </c>
      <c r="F26" s="5">
        <v>2</v>
      </c>
      <c r="G26" s="5">
        <v>0.04</v>
      </c>
      <c r="H26" s="5" t="b">
        <v>0</v>
      </c>
      <c r="I26" s="5" t="b">
        <v>0</v>
      </c>
      <c r="J26" s="5" t="b">
        <v>0</v>
      </c>
      <c r="K26" s="5">
        <v>2.9529999999999998</v>
      </c>
      <c r="L26" s="5">
        <v>5.1999999999999998E-2</v>
      </c>
      <c r="M26" s="5">
        <v>-5.8000000000000003E-2</v>
      </c>
      <c r="N26" s="5">
        <v>54773.341</v>
      </c>
      <c r="O26" s="5">
        <v>8.4000000000000005E-2</v>
      </c>
      <c r="P26" s="5">
        <v>5.0000000000000001E-3</v>
      </c>
      <c r="Q26" s="6">
        <v>1E-3</v>
      </c>
      <c r="R26" s="6">
        <v>0.18</v>
      </c>
      <c r="S26" s="7">
        <v>340.96499999999997</v>
      </c>
      <c r="T26" s="5">
        <v>1838.375</v>
      </c>
      <c r="U26" s="5">
        <v>1.615</v>
      </c>
      <c r="V26" s="5">
        <v>2.2559999999999998</v>
      </c>
      <c r="W26" s="5">
        <v>1.4790000000000001</v>
      </c>
      <c r="X26" s="5">
        <v>3.649</v>
      </c>
      <c r="Y26" s="5">
        <v>9.0030000000000001</v>
      </c>
      <c r="Z26" s="5">
        <v>706</v>
      </c>
      <c r="AA26" s="5">
        <v>5270</v>
      </c>
      <c r="AB26" s="5">
        <v>915</v>
      </c>
      <c r="AC26" s="5">
        <v>0.06</v>
      </c>
      <c r="AD26" s="5">
        <v>1</v>
      </c>
      <c r="AE26" s="5">
        <v>0</v>
      </c>
      <c r="AF26" s="5">
        <v>0</v>
      </c>
      <c r="AG26" s="5">
        <v>1</v>
      </c>
      <c r="AH26" s="5">
        <v>2.9</v>
      </c>
      <c r="AI26" s="5">
        <v>2.8509000000000002</v>
      </c>
      <c r="AJ26" s="5">
        <v>-1.4999999999999999E-4</v>
      </c>
      <c r="AK26" s="5">
        <v>-1.6000000000000001E-4</v>
      </c>
      <c r="AL26" s="5">
        <v>0</v>
      </c>
      <c r="AM26" s="5">
        <v>0</v>
      </c>
      <c r="AN26" s="5">
        <v>0.29499999999999998</v>
      </c>
      <c r="AO26" s="6">
        <f t="shared" si="5"/>
        <v>0.13396584440227705</v>
      </c>
      <c r="AP26" s="5">
        <f t="shared" si="6"/>
        <v>209</v>
      </c>
      <c r="AQ26" s="8">
        <f t="shared" si="0"/>
        <v>0.6430769230769231</v>
      </c>
      <c r="AR26" s="6">
        <f t="shared" si="7"/>
        <v>0.17362428842504743</v>
      </c>
      <c r="AS26" s="6">
        <f t="shared" si="8"/>
        <v>0.7077548256010836</v>
      </c>
      <c r="AT26" s="6">
        <f t="shared" si="11"/>
        <v>0.13284590310838529</v>
      </c>
      <c r="AU26" s="6">
        <f t="shared" si="10"/>
        <v>8.5807448086493932E-2</v>
      </c>
      <c r="AV26" s="5">
        <f t="shared" si="1"/>
        <v>0</v>
      </c>
      <c r="AW26" s="5">
        <f t="shared" si="2"/>
        <v>5</v>
      </c>
      <c r="AX26" s="5">
        <f t="shared" si="3"/>
        <v>0</v>
      </c>
      <c r="AY26" s="5">
        <f t="shared" si="4"/>
        <v>0</v>
      </c>
      <c r="AZ26" s="5">
        <f t="shared" si="9"/>
        <v>0</v>
      </c>
    </row>
    <row r="27" spans="1:52" x14ac:dyDescent="0.3">
      <c r="A27" s="5" t="s">
        <v>52</v>
      </c>
      <c r="B27" s="5" t="s">
        <v>56</v>
      </c>
      <c r="C27" s="5" t="s">
        <v>54</v>
      </c>
      <c r="D27" s="5" t="s">
        <v>56</v>
      </c>
      <c r="E27" s="5" t="s">
        <v>55</v>
      </c>
      <c r="F27" s="5">
        <v>2</v>
      </c>
      <c r="G27" s="5">
        <v>0.04</v>
      </c>
      <c r="H27" s="5" t="b">
        <v>0</v>
      </c>
      <c r="I27" s="5" t="b">
        <v>0</v>
      </c>
      <c r="J27" s="5" t="b">
        <v>0</v>
      </c>
      <c r="K27" s="5">
        <v>2.9529999999999998</v>
      </c>
      <c r="L27" s="5">
        <v>5.1999999999999998E-2</v>
      </c>
      <c r="M27" s="5">
        <v>-5.8000000000000003E-2</v>
      </c>
      <c r="N27" s="5">
        <v>35499.196000000004</v>
      </c>
      <c r="O27" s="5">
        <v>0.129</v>
      </c>
      <c r="P27" s="5">
        <v>5.0000000000000001E-3</v>
      </c>
      <c r="Q27" s="6">
        <v>1E-3</v>
      </c>
      <c r="R27" s="6">
        <v>0.18</v>
      </c>
      <c r="S27" s="7">
        <v>352.63400000000001</v>
      </c>
      <c r="T27" s="5">
        <v>1838.375</v>
      </c>
      <c r="U27" s="5">
        <v>2.2909999999999999</v>
      </c>
      <c r="V27" s="5">
        <v>2.375</v>
      </c>
      <c r="W27" s="5">
        <v>1.581</v>
      </c>
      <c r="X27" s="5">
        <v>3.839</v>
      </c>
      <c r="Y27" s="5">
        <v>10.09</v>
      </c>
      <c r="Z27" s="5">
        <v>740</v>
      </c>
      <c r="AA27" s="5">
        <v>5270</v>
      </c>
      <c r="AB27" s="5">
        <v>950</v>
      </c>
      <c r="AC27" s="5">
        <v>0.06</v>
      </c>
      <c r="AD27" s="5">
        <v>1</v>
      </c>
      <c r="AE27" s="5">
        <v>0</v>
      </c>
      <c r="AF27" s="5">
        <v>0</v>
      </c>
      <c r="AG27" s="5">
        <v>1</v>
      </c>
      <c r="AH27" s="5">
        <v>2.86</v>
      </c>
      <c r="AI27" s="5">
        <v>2.8725000000000001</v>
      </c>
      <c r="AJ27" s="5">
        <v>1.8500000000000001E-3</v>
      </c>
      <c r="AK27" s="5">
        <v>2.7999999999999998E-4</v>
      </c>
      <c r="AL27" s="5">
        <v>0</v>
      </c>
      <c r="AM27" s="5">
        <v>0</v>
      </c>
      <c r="AN27" s="5">
        <v>0.29499999999999998</v>
      </c>
      <c r="AO27" s="6">
        <f t="shared" si="5"/>
        <v>0.14041745730550284</v>
      </c>
      <c r="AP27" s="5">
        <f t="shared" si="6"/>
        <v>210</v>
      </c>
      <c r="AQ27" s="8">
        <f t="shared" si="0"/>
        <v>0.64615384615384619</v>
      </c>
      <c r="AR27" s="6">
        <f t="shared" si="7"/>
        <v>0.18026565464895636</v>
      </c>
      <c r="AS27" s="6">
        <f t="shared" si="8"/>
        <v>0.71114121232644767</v>
      </c>
      <c r="AT27" s="6">
        <f t="shared" si="11"/>
        <v>8.7548744524916677E-2</v>
      </c>
      <c r="AU27" s="6">
        <f t="shared" si="10"/>
        <v>8.5697146285028419E-2</v>
      </c>
      <c r="AV27" s="5">
        <f t="shared" si="1"/>
        <v>0</v>
      </c>
      <c r="AW27" s="5">
        <f t="shared" si="2"/>
        <v>5</v>
      </c>
      <c r="AX27" s="5">
        <f t="shared" si="3"/>
        <v>0</v>
      </c>
      <c r="AY27" s="5">
        <f t="shared" si="4"/>
        <v>0</v>
      </c>
      <c r="AZ27" s="5">
        <f t="shared" si="9"/>
        <v>0</v>
      </c>
    </row>
    <row r="28" spans="1:52" x14ac:dyDescent="0.3">
      <c r="A28" s="5" t="s">
        <v>52</v>
      </c>
      <c r="B28" s="5" t="s">
        <v>56</v>
      </c>
      <c r="C28" s="5" t="s">
        <v>54</v>
      </c>
      <c r="D28" s="5" t="s">
        <v>56</v>
      </c>
      <c r="E28" s="5" t="s">
        <v>55</v>
      </c>
      <c r="F28" s="5">
        <v>2</v>
      </c>
      <c r="G28" s="5">
        <v>0.04</v>
      </c>
      <c r="H28" s="5" t="b">
        <v>0</v>
      </c>
      <c r="I28" s="5" t="b">
        <v>0</v>
      </c>
      <c r="J28" s="5" t="b">
        <v>0</v>
      </c>
      <c r="K28" s="5">
        <v>2.9529999999999998</v>
      </c>
      <c r="L28" s="5">
        <v>5.1999999999999998E-2</v>
      </c>
      <c r="M28" s="5">
        <v>-5.8000000000000003E-2</v>
      </c>
      <c r="N28" s="5">
        <v>18687.631000000001</v>
      </c>
      <c r="O28" s="5">
        <v>0.24199999999999999</v>
      </c>
      <c r="P28" s="5">
        <v>5.0000000000000001E-3</v>
      </c>
      <c r="Q28" s="6">
        <v>1E-3</v>
      </c>
      <c r="R28" s="6">
        <v>0.18</v>
      </c>
      <c r="S28" s="7">
        <v>365.346</v>
      </c>
      <c r="T28" s="5">
        <v>1838.375</v>
      </c>
      <c r="U28" s="5">
        <v>1.5840000000000001</v>
      </c>
      <c r="V28" s="5">
        <v>2.4039999999999999</v>
      </c>
      <c r="W28" s="5">
        <v>1.569</v>
      </c>
      <c r="X28" s="5">
        <v>3.7280000000000002</v>
      </c>
      <c r="Y28" s="5">
        <v>9.2880000000000003</v>
      </c>
      <c r="Z28" s="5">
        <v>776</v>
      </c>
      <c r="AA28" s="5">
        <v>5270</v>
      </c>
      <c r="AB28" s="5">
        <v>988</v>
      </c>
      <c r="AC28" s="5">
        <v>0.06</v>
      </c>
      <c r="AD28" s="5">
        <v>1</v>
      </c>
      <c r="AE28" s="5">
        <v>0</v>
      </c>
      <c r="AF28" s="5">
        <v>0</v>
      </c>
      <c r="AG28" s="5">
        <v>1</v>
      </c>
      <c r="AH28" s="5">
        <v>2.86</v>
      </c>
      <c r="AI28" s="5">
        <v>2.8622200000000002</v>
      </c>
      <c r="AJ28" s="5">
        <v>-8.0999999999999996E-4</v>
      </c>
      <c r="AK28" s="5">
        <v>1E-4</v>
      </c>
      <c r="AL28" s="5">
        <v>0</v>
      </c>
      <c r="AM28" s="5">
        <v>0</v>
      </c>
      <c r="AN28" s="5">
        <v>0.29099999999999998</v>
      </c>
      <c r="AO28" s="6">
        <f t="shared" si="5"/>
        <v>0.14724857685009488</v>
      </c>
      <c r="AP28" s="5">
        <f t="shared" si="6"/>
        <v>212</v>
      </c>
      <c r="AQ28" s="8">
        <f t="shared" si="0"/>
        <v>0.65230769230769226</v>
      </c>
      <c r="AR28" s="6">
        <f t="shared" si="7"/>
        <v>0.1874762808349146</v>
      </c>
      <c r="AS28" s="6">
        <f t="shared" si="8"/>
        <v>0.71791398577717569</v>
      </c>
      <c r="AT28" s="6">
        <f t="shared" si="11"/>
        <v>0.10155392660711855</v>
      </c>
      <c r="AU28" s="6">
        <f t="shared" si="10"/>
        <v>0.15733165512901209</v>
      </c>
      <c r="AV28" s="5">
        <f t="shared" si="1"/>
        <v>0</v>
      </c>
      <c r="AW28" s="5">
        <f t="shared" si="2"/>
        <v>5</v>
      </c>
      <c r="AX28" s="5">
        <f t="shared" si="3"/>
        <v>0</v>
      </c>
      <c r="AY28" s="5">
        <f t="shared" si="4"/>
        <v>0</v>
      </c>
      <c r="AZ28" s="5">
        <f t="shared" si="9"/>
        <v>0</v>
      </c>
    </row>
    <row r="29" spans="1:52" x14ac:dyDescent="0.3">
      <c r="A29" s="5" t="s">
        <v>52</v>
      </c>
      <c r="B29" s="5" t="s">
        <v>56</v>
      </c>
      <c r="C29" s="5" t="s">
        <v>54</v>
      </c>
      <c r="D29" s="5" t="s">
        <v>56</v>
      </c>
      <c r="E29" s="5" t="s">
        <v>55</v>
      </c>
      <c r="F29" s="5">
        <v>2</v>
      </c>
      <c r="G29" s="5">
        <v>0.04</v>
      </c>
      <c r="H29" s="5" t="b">
        <v>0</v>
      </c>
      <c r="I29" s="5" t="b">
        <v>0</v>
      </c>
      <c r="J29" s="5" t="b">
        <v>0</v>
      </c>
      <c r="K29" s="5">
        <v>2.9529999999999998</v>
      </c>
      <c r="L29" s="5">
        <v>5.1999999999999998E-2</v>
      </c>
      <c r="M29" s="5">
        <v>-5.8000000000000003E-2</v>
      </c>
      <c r="N29" s="5">
        <v>39148.103999999999</v>
      </c>
      <c r="O29" s="5">
        <v>0.115</v>
      </c>
      <c r="P29" s="5">
        <v>5.0000000000000001E-3</v>
      </c>
      <c r="Q29" s="6">
        <v>1E-3</v>
      </c>
      <c r="R29" s="6">
        <v>0.18</v>
      </c>
      <c r="S29" s="7">
        <v>377.82499999999999</v>
      </c>
      <c r="T29" s="5">
        <v>1838.375</v>
      </c>
      <c r="U29" s="5">
        <v>1.6</v>
      </c>
      <c r="V29" s="5">
        <v>2.2090000000000001</v>
      </c>
      <c r="W29" s="5">
        <v>1.4750000000000001</v>
      </c>
      <c r="X29" s="5">
        <v>3.5939999999999999</v>
      </c>
      <c r="Y29" s="5">
        <v>8.8800000000000008</v>
      </c>
      <c r="Z29" s="5">
        <v>812</v>
      </c>
      <c r="AA29" s="5">
        <v>5270</v>
      </c>
      <c r="AB29" s="5">
        <v>1023</v>
      </c>
      <c r="AC29" s="5">
        <v>0.06</v>
      </c>
      <c r="AD29" s="5">
        <v>1</v>
      </c>
      <c r="AE29" s="5">
        <v>0</v>
      </c>
      <c r="AF29" s="5">
        <v>0</v>
      </c>
      <c r="AG29" s="5">
        <v>1</v>
      </c>
      <c r="AH29" s="5">
        <v>2.84</v>
      </c>
      <c r="AI29" s="5">
        <v>2.8659699999999999</v>
      </c>
      <c r="AJ29" s="5">
        <v>2.9999999999999997E-4</v>
      </c>
      <c r="AK29" s="5">
        <v>1.2999999999999999E-4</v>
      </c>
      <c r="AL29" s="5">
        <v>0</v>
      </c>
      <c r="AM29" s="5">
        <v>0</v>
      </c>
      <c r="AN29" s="5">
        <v>0.29099999999999998</v>
      </c>
      <c r="AO29" s="6">
        <f t="shared" si="5"/>
        <v>0.15407969639468691</v>
      </c>
      <c r="AP29" s="5">
        <f t="shared" si="6"/>
        <v>211</v>
      </c>
      <c r="AQ29" s="8">
        <f t="shared" si="0"/>
        <v>0.64923076923076928</v>
      </c>
      <c r="AR29" s="6">
        <f t="shared" si="7"/>
        <v>0.19411764705882353</v>
      </c>
      <c r="AS29" s="6">
        <f t="shared" si="8"/>
        <v>0.71452759905181173</v>
      </c>
      <c r="AT29" s="6">
        <f t="shared" si="11"/>
        <v>0.1019097012416631</v>
      </c>
      <c r="AU29" s="6">
        <f t="shared" si="10"/>
        <v>-8.0134626171969009E-2</v>
      </c>
      <c r="AV29" s="5">
        <f t="shared" si="1"/>
        <v>0</v>
      </c>
      <c r="AW29" s="5">
        <f t="shared" si="2"/>
        <v>5</v>
      </c>
      <c r="AX29" s="5">
        <f t="shared" si="3"/>
        <v>0</v>
      </c>
      <c r="AY29" s="5">
        <f t="shared" si="4"/>
        <v>0</v>
      </c>
      <c r="AZ29" s="5">
        <f t="shared" si="9"/>
        <v>0</v>
      </c>
    </row>
    <row r="30" spans="1:52" x14ac:dyDescent="0.3">
      <c r="A30" s="5" t="s">
        <v>52</v>
      </c>
      <c r="B30" s="5" t="s">
        <v>56</v>
      </c>
      <c r="C30" s="5" t="s">
        <v>54</v>
      </c>
      <c r="D30" s="5" t="s">
        <v>56</v>
      </c>
      <c r="E30" s="5" t="s">
        <v>55</v>
      </c>
      <c r="F30" s="5">
        <v>2</v>
      </c>
      <c r="G30" s="5">
        <v>0.04</v>
      </c>
      <c r="H30" s="5" t="b">
        <v>0</v>
      </c>
      <c r="I30" s="5" t="b">
        <v>0</v>
      </c>
      <c r="J30" s="5" t="b">
        <v>0</v>
      </c>
      <c r="K30" s="5">
        <v>2.9529999999999998</v>
      </c>
      <c r="L30" s="5">
        <v>5.1999999999999998E-2</v>
      </c>
      <c r="M30" s="5">
        <v>-5.8000000000000003E-2</v>
      </c>
      <c r="N30" s="5">
        <v>-53453.421000000002</v>
      </c>
      <c r="O30" s="5">
        <v>-8.3000000000000004E-2</v>
      </c>
      <c r="P30" s="5">
        <v>5.0000000000000001E-3</v>
      </c>
      <c r="Q30" s="6">
        <v>1E-3</v>
      </c>
      <c r="R30" s="6">
        <v>0.18</v>
      </c>
      <c r="S30" s="7">
        <v>389.392</v>
      </c>
      <c r="T30" s="5">
        <v>1838.375</v>
      </c>
      <c r="U30" s="5">
        <v>1.5840000000000001</v>
      </c>
      <c r="V30" s="5">
        <v>2.2869999999999999</v>
      </c>
      <c r="W30" s="5">
        <v>1.9610000000000001</v>
      </c>
      <c r="X30" s="5">
        <v>3.8290000000000002</v>
      </c>
      <c r="Y30" s="5">
        <v>9.6649999999999991</v>
      </c>
      <c r="Z30" s="5">
        <v>845</v>
      </c>
      <c r="AA30" s="5">
        <v>5270</v>
      </c>
      <c r="AB30" s="5">
        <v>1058</v>
      </c>
      <c r="AC30" s="5">
        <v>0.06</v>
      </c>
      <c r="AD30" s="5">
        <v>1</v>
      </c>
      <c r="AE30" s="5">
        <v>0</v>
      </c>
      <c r="AF30" s="5">
        <v>0</v>
      </c>
      <c r="AG30" s="5">
        <v>1</v>
      </c>
      <c r="AH30" s="5">
        <v>2.86</v>
      </c>
      <c r="AI30" s="5">
        <v>2.8628300000000002</v>
      </c>
      <c r="AJ30" s="5">
        <v>-2.7E-4</v>
      </c>
      <c r="AK30" s="5">
        <v>1.7000000000000001E-4</v>
      </c>
      <c r="AL30" s="5">
        <v>0</v>
      </c>
      <c r="AM30" s="5">
        <v>0</v>
      </c>
      <c r="AN30" s="5">
        <v>0.29099999999999998</v>
      </c>
      <c r="AO30" s="6">
        <f t="shared" si="5"/>
        <v>0.1603415559772296</v>
      </c>
      <c r="AP30" s="5">
        <f t="shared" si="6"/>
        <v>213</v>
      </c>
      <c r="AQ30" s="8">
        <f t="shared" si="0"/>
        <v>0.65538461538461534</v>
      </c>
      <c r="AR30" s="6">
        <f t="shared" si="7"/>
        <v>0.20075901328273243</v>
      </c>
      <c r="AS30" s="6">
        <f t="shared" si="8"/>
        <v>0.72130037250253976</v>
      </c>
      <c r="AT30" s="6">
        <f t="shared" si="11"/>
        <v>8.4321460656030342E-2</v>
      </c>
      <c r="AU30" s="6">
        <f t="shared" si="10"/>
        <v>0.17290567995158629</v>
      </c>
      <c r="AV30" s="5">
        <f t="shared" si="1"/>
        <v>0</v>
      </c>
      <c r="AW30" s="5">
        <f t="shared" si="2"/>
        <v>5</v>
      </c>
      <c r="AX30" s="5">
        <f t="shared" si="3"/>
        <v>0</v>
      </c>
      <c r="AY30" s="5">
        <f t="shared" si="4"/>
        <v>0</v>
      </c>
      <c r="AZ30" s="5">
        <f t="shared" si="9"/>
        <v>0</v>
      </c>
    </row>
    <row r="31" spans="1:52" x14ac:dyDescent="0.3">
      <c r="A31" s="5" t="s">
        <v>52</v>
      </c>
      <c r="B31" s="5" t="s">
        <v>56</v>
      </c>
      <c r="C31" s="5" t="s">
        <v>54</v>
      </c>
      <c r="D31" s="5" t="s">
        <v>56</v>
      </c>
      <c r="E31" s="5" t="s">
        <v>55</v>
      </c>
      <c r="F31" s="5">
        <v>2</v>
      </c>
      <c r="G31" s="5">
        <v>0.04</v>
      </c>
      <c r="H31" s="5" t="b">
        <v>0</v>
      </c>
      <c r="I31" s="5" t="b">
        <v>0</v>
      </c>
      <c r="J31" s="5" t="b">
        <v>0</v>
      </c>
      <c r="K31" s="5">
        <v>2.9529999999999998</v>
      </c>
      <c r="L31" s="5">
        <v>5.1999999999999998E-2</v>
      </c>
      <c r="M31" s="5">
        <v>-5.8000000000000003E-2</v>
      </c>
      <c r="N31" s="5">
        <v>36709.442999999999</v>
      </c>
      <c r="O31" s="5">
        <v>0.121</v>
      </c>
      <c r="P31" s="5">
        <v>5.0000000000000001E-3</v>
      </c>
      <c r="Q31" s="6">
        <v>1E-3</v>
      </c>
      <c r="R31" s="6">
        <v>0.18</v>
      </c>
      <c r="S31" s="7">
        <v>401.74200000000002</v>
      </c>
      <c r="T31" s="5">
        <v>1838.375</v>
      </c>
      <c r="U31" s="5">
        <v>1.5509999999999999</v>
      </c>
      <c r="V31" s="5">
        <v>3.9550000000000001</v>
      </c>
      <c r="W31" s="5">
        <v>1.5029999999999999</v>
      </c>
      <c r="X31" s="5">
        <v>3.7189999999999999</v>
      </c>
      <c r="Y31" s="5">
        <v>10.731</v>
      </c>
      <c r="Z31" s="5">
        <v>881</v>
      </c>
      <c r="AA31" s="5">
        <v>5270</v>
      </c>
      <c r="AB31" s="5">
        <v>1095</v>
      </c>
      <c r="AC31" s="5">
        <v>0.06</v>
      </c>
      <c r="AD31" s="5">
        <v>1</v>
      </c>
      <c r="AE31" s="5">
        <v>0</v>
      </c>
      <c r="AF31" s="5">
        <v>0</v>
      </c>
      <c r="AG31" s="5">
        <v>1</v>
      </c>
      <c r="AH31" s="5">
        <v>2.88</v>
      </c>
      <c r="AI31" s="5">
        <v>2.8793799999999998</v>
      </c>
      <c r="AJ31" s="5">
        <v>1.34E-3</v>
      </c>
      <c r="AK31" s="5">
        <v>4.6999999999999999E-4</v>
      </c>
      <c r="AL31" s="5">
        <v>0</v>
      </c>
      <c r="AM31" s="5">
        <v>0</v>
      </c>
      <c r="AN31" s="5">
        <v>0.28699999999999998</v>
      </c>
      <c r="AO31" s="6">
        <f t="shared" si="5"/>
        <v>0.16717267552182163</v>
      </c>
      <c r="AP31" s="5">
        <f t="shared" si="6"/>
        <v>214</v>
      </c>
      <c r="AQ31" s="8">
        <f t="shared" si="0"/>
        <v>0.65846153846153843</v>
      </c>
      <c r="AR31" s="6">
        <f t="shared" si="7"/>
        <v>0.2077798861480076</v>
      </c>
      <c r="AS31" s="6">
        <f t="shared" si="8"/>
        <v>0.72468675922790382</v>
      </c>
      <c r="AT31" s="6">
        <f t="shared" si="11"/>
        <v>8.3354303022537185E-2</v>
      </c>
      <c r="AU31" s="6">
        <f t="shared" si="10"/>
        <v>8.0971659919028188E-2</v>
      </c>
      <c r="AV31" s="5">
        <f t="shared" si="1"/>
        <v>0</v>
      </c>
      <c r="AW31" s="5">
        <f t="shared" si="2"/>
        <v>5</v>
      </c>
      <c r="AX31" s="5">
        <f t="shared" si="3"/>
        <v>0</v>
      </c>
      <c r="AY31" s="5">
        <f t="shared" si="4"/>
        <v>0</v>
      </c>
      <c r="AZ31" s="5">
        <f t="shared" si="9"/>
        <v>0</v>
      </c>
    </row>
    <row r="32" spans="1:52" x14ac:dyDescent="0.3">
      <c r="A32" s="5" t="s">
        <v>52</v>
      </c>
      <c r="B32" s="5" t="s">
        <v>56</v>
      </c>
      <c r="C32" s="5" t="s">
        <v>54</v>
      </c>
      <c r="D32" s="5" t="s">
        <v>56</v>
      </c>
      <c r="E32" s="5" t="s">
        <v>55</v>
      </c>
      <c r="F32" s="5">
        <v>2</v>
      </c>
      <c r="G32" s="5">
        <v>0.04</v>
      </c>
      <c r="H32" s="5" t="b">
        <v>0</v>
      </c>
      <c r="I32" s="5" t="b">
        <v>0</v>
      </c>
      <c r="J32" s="5" t="b">
        <v>0</v>
      </c>
      <c r="K32" s="5">
        <v>2.9529999999999998</v>
      </c>
      <c r="L32" s="5">
        <v>5.1999999999999998E-2</v>
      </c>
      <c r="M32" s="5">
        <v>-5.8000000000000003E-2</v>
      </c>
      <c r="N32" s="5">
        <v>14111.638000000001</v>
      </c>
      <c r="O32" s="5">
        <v>0.311</v>
      </c>
      <c r="P32" s="5">
        <v>5.0000000000000001E-3</v>
      </c>
      <c r="Q32" s="6">
        <v>1E-3</v>
      </c>
      <c r="R32" s="6">
        <v>0.18</v>
      </c>
      <c r="S32" s="7">
        <v>415.07</v>
      </c>
      <c r="T32" s="5">
        <v>1838.375</v>
      </c>
      <c r="U32" s="5">
        <v>2.1320000000000001</v>
      </c>
      <c r="V32" s="5">
        <v>2.649</v>
      </c>
      <c r="W32" s="5">
        <v>1.8140000000000001</v>
      </c>
      <c r="X32" s="5">
        <v>4.2960000000000003</v>
      </c>
      <c r="Y32" s="5">
        <v>10.895</v>
      </c>
      <c r="Z32" s="5">
        <v>919</v>
      </c>
      <c r="AA32" s="5">
        <v>5270</v>
      </c>
      <c r="AB32" s="5">
        <v>1135</v>
      </c>
      <c r="AC32" s="5">
        <v>0.06</v>
      </c>
      <c r="AD32" s="5">
        <v>1</v>
      </c>
      <c r="AE32" s="5">
        <v>0</v>
      </c>
      <c r="AF32" s="5">
        <v>0</v>
      </c>
      <c r="AG32" s="5">
        <v>1</v>
      </c>
      <c r="AH32" s="5">
        <v>2.86</v>
      </c>
      <c r="AI32" s="5">
        <v>2.86694</v>
      </c>
      <c r="AJ32" s="5">
        <v>-9.3000000000000005E-4</v>
      </c>
      <c r="AK32" s="5">
        <v>-9.0000000000000006E-5</v>
      </c>
      <c r="AL32" s="5">
        <v>0</v>
      </c>
      <c r="AM32" s="5">
        <v>0</v>
      </c>
      <c r="AN32" s="5">
        <v>0.28699999999999998</v>
      </c>
      <c r="AO32" s="6">
        <f t="shared" si="5"/>
        <v>0.17438330170777988</v>
      </c>
      <c r="AP32" s="5">
        <f t="shared" si="6"/>
        <v>216</v>
      </c>
      <c r="AQ32" s="8">
        <f t="shared" si="0"/>
        <v>0.66461538461538461</v>
      </c>
      <c r="AR32" s="6">
        <f t="shared" si="7"/>
        <v>0.21537001897533206</v>
      </c>
      <c r="AS32" s="6">
        <f t="shared" si="8"/>
        <v>0.73145953267863184</v>
      </c>
      <c r="AT32" s="6">
        <f t="shared" si="11"/>
        <v>9.6226878567452351E-2</v>
      </c>
      <c r="AU32" s="6">
        <f t="shared" si="10"/>
        <v>0.15006002400960414</v>
      </c>
      <c r="AV32" s="5">
        <f t="shared" si="1"/>
        <v>0</v>
      </c>
      <c r="AW32" s="5">
        <f t="shared" si="2"/>
        <v>5</v>
      </c>
      <c r="AX32" s="5">
        <f t="shared" si="3"/>
        <v>0</v>
      </c>
      <c r="AY32" s="5">
        <f t="shared" si="4"/>
        <v>0</v>
      </c>
      <c r="AZ32" s="5">
        <f t="shared" si="9"/>
        <v>0</v>
      </c>
    </row>
    <row r="33" spans="1:52" x14ac:dyDescent="0.3">
      <c r="A33" s="5" t="s">
        <v>52</v>
      </c>
      <c r="B33" s="5" t="s">
        <v>56</v>
      </c>
      <c r="C33" s="5" t="s">
        <v>54</v>
      </c>
      <c r="D33" s="5" t="s">
        <v>56</v>
      </c>
      <c r="E33" s="5" t="s">
        <v>55</v>
      </c>
      <c r="F33" s="5">
        <v>2</v>
      </c>
      <c r="G33" s="5">
        <v>0.04</v>
      </c>
      <c r="H33" s="5" t="b">
        <v>0</v>
      </c>
      <c r="I33" s="5" t="b">
        <v>0</v>
      </c>
      <c r="J33" s="5" t="b">
        <v>0</v>
      </c>
      <c r="K33" s="5">
        <v>2.9529999999999998</v>
      </c>
      <c r="L33" s="5">
        <v>5.1999999999999998E-2</v>
      </c>
      <c r="M33" s="5">
        <v>-5.8000000000000003E-2</v>
      </c>
      <c r="N33" s="5">
        <v>23377.562000000002</v>
      </c>
      <c r="O33" s="5">
        <v>0.186</v>
      </c>
      <c r="P33" s="5">
        <v>5.0000000000000001E-3</v>
      </c>
      <c r="Q33" s="6">
        <v>1E-3</v>
      </c>
      <c r="R33" s="6">
        <v>0.18</v>
      </c>
      <c r="S33" s="7">
        <v>428.74900000000002</v>
      </c>
      <c r="T33" s="5">
        <v>1838.375</v>
      </c>
      <c r="U33" s="5">
        <v>1.7689999999999999</v>
      </c>
      <c r="V33" s="5">
        <v>2.9710000000000001</v>
      </c>
      <c r="W33" s="5">
        <v>1.585</v>
      </c>
      <c r="X33" s="5">
        <v>5.15</v>
      </c>
      <c r="Y33" s="5">
        <v>11.478999999999999</v>
      </c>
      <c r="Z33" s="5">
        <v>958</v>
      </c>
      <c r="AA33" s="5">
        <v>5270</v>
      </c>
      <c r="AB33" s="5">
        <v>1174</v>
      </c>
      <c r="AC33" s="5">
        <v>0.06</v>
      </c>
      <c r="AD33" s="5">
        <v>1</v>
      </c>
      <c r="AE33" s="5">
        <v>0</v>
      </c>
      <c r="AF33" s="5">
        <v>0</v>
      </c>
      <c r="AG33" s="5">
        <v>1</v>
      </c>
      <c r="AH33" s="5">
        <v>2.9</v>
      </c>
      <c r="AI33" s="5">
        <v>2.8704999999999998</v>
      </c>
      <c r="AJ33" s="5">
        <v>2.5999999999999998E-4</v>
      </c>
      <c r="AK33" s="5">
        <v>1.2999999999999999E-4</v>
      </c>
      <c r="AL33" s="5">
        <v>0</v>
      </c>
      <c r="AM33" s="5">
        <v>0</v>
      </c>
      <c r="AN33" s="5">
        <v>0.28699999999999998</v>
      </c>
      <c r="AO33" s="6">
        <f t="shared" si="5"/>
        <v>0.18178368121442126</v>
      </c>
      <c r="AP33" s="5">
        <f t="shared" si="6"/>
        <v>216</v>
      </c>
      <c r="AQ33" s="8">
        <f t="shared" si="0"/>
        <v>0.66461538461538461</v>
      </c>
      <c r="AR33" s="6">
        <f t="shared" si="7"/>
        <v>0.22277039848197344</v>
      </c>
      <c r="AS33" s="6">
        <f t="shared" si="8"/>
        <v>0.73145953267863184</v>
      </c>
      <c r="AT33" s="6">
        <f t="shared" si="11"/>
        <v>6.4760547541649921E-2</v>
      </c>
      <c r="AU33" s="6">
        <f t="shared" si="10"/>
        <v>0</v>
      </c>
      <c r="AV33" s="5">
        <f t="shared" si="1"/>
        <v>0</v>
      </c>
      <c r="AW33" s="5">
        <f t="shared" si="2"/>
        <v>5</v>
      </c>
      <c r="AX33" s="5">
        <f t="shared" si="3"/>
        <v>0</v>
      </c>
      <c r="AY33" s="5">
        <f t="shared" si="4"/>
        <v>0</v>
      </c>
      <c r="AZ33" s="5">
        <f t="shared" si="9"/>
        <v>0</v>
      </c>
    </row>
    <row r="34" spans="1:52" x14ac:dyDescent="0.3">
      <c r="A34" s="5" t="s">
        <v>52</v>
      </c>
      <c r="B34" s="5" t="s">
        <v>56</v>
      </c>
      <c r="C34" s="5" t="s">
        <v>54</v>
      </c>
      <c r="D34" s="5" t="s">
        <v>56</v>
      </c>
      <c r="E34" s="5" t="s">
        <v>55</v>
      </c>
      <c r="F34" s="5">
        <v>2</v>
      </c>
      <c r="G34" s="5">
        <v>0.04</v>
      </c>
      <c r="H34" s="5" t="b">
        <v>0</v>
      </c>
      <c r="I34" s="5" t="b">
        <v>0</v>
      </c>
      <c r="J34" s="5" t="b">
        <v>0</v>
      </c>
      <c r="K34" s="5">
        <v>2.9529999999999998</v>
      </c>
      <c r="L34" s="5">
        <v>5.1999999999999998E-2</v>
      </c>
      <c r="M34" s="5">
        <v>-5.8000000000000003E-2</v>
      </c>
      <c r="N34" s="5">
        <v>24324.429</v>
      </c>
      <c r="O34" s="5">
        <v>0.17699999999999999</v>
      </c>
      <c r="P34" s="5">
        <v>5.0000000000000001E-3</v>
      </c>
      <c r="Q34" s="6">
        <v>1E-3</v>
      </c>
      <c r="R34" s="6">
        <v>0.18</v>
      </c>
      <c r="S34" s="7">
        <v>442.90499999999997</v>
      </c>
      <c r="T34" s="5">
        <v>1838.375</v>
      </c>
      <c r="U34" s="5">
        <v>1.6319999999999999</v>
      </c>
      <c r="V34" s="5">
        <v>2.2949999999999999</v>
      </c>
      <c r="W34" s="5">
        <v>1.4159999999999999</v>
      </c>
      <c r="X34" s="5">
        <v>4.76</v>
      </c>
      <c r="Y34" s="5">
        <v>10.106</v>
      </c>
      <c r="Z34" s="5">
        <v>998</v>
      </c>
      <c r="AA34" s="5">
        <v>5270</v>
      </c>
      <c r="AB34" s="5">
        <v>1217</v>
      </c>
      <c r="AC34" s="5">
        <v>0.06</v>
      </c>
      <c r="AD34" s="5">
        <v>1</v>
      </c>
      <c r="AE34" s="5">
        <v>0</v>
      </c>
      <c r="AF34" s="5">
        <v>0</v>
      </c>
      <c r="AG34" s="5">
        <v>1</v>
      </c>
      <c r="AH34" s="5">
        <v>2.86</v>
      </c>
      <c r="AI34" s="5">
        <v>2.8580100000000002</v>
      </c>
      <c r="AJ34" s="5">
        <v>-8.8000000000000003E-4</v>
      </c>
      <c r="AK34" s="5">
        <v>-1.2E-4</v>
      </c>
      <c r="AL34" s="5">
        <v>0</v>
      </c>
      <c r="AM34" s="5">
        <v>0</v>
      </c>
      <c r="AN34" s="5">
        <v>0.28699999999999998</v>
      </c>
      <c r="AO34" s="6">
        <f t="shared" si="5"/>
        <v>0.18937381404174572</v>
      </c>
      <c r="AP34" s="5">
        <f t="shared" si="6"/>
        <v>219</v>
      </c>
      <c r="AQ34" s="8">
        <f t="shared" si="0"/>
        <v>0.67384615384615387</v>
      </c>
      <c r="AR34" s="6">
        <f t="shared" si="7"/>
        <v>0.23092979127134725</v>
      </c>
      <c r="AS34" s="6">
        <f t="shared" si="8"/>
        <v>0.74161869285472393</v>
      </c>
      <c r="AT34" s="6">
        <f t="shared" si="11"/>
        <v>0.12317232725471017</v>
      </c>
      <c r="AU34" s="6">
        <f t="shared" si="10"/>
        <v>0.21192427239333222</v>
      </c>
      <c r="AV34" s="5">
        <f t="shared" ref="AV34:AV65" si="12">IF(B34="ACCELERATION",5,0)</f>
        <v>0</v>
      </c>
      <c r="AW34" s="5">
        <f t="shared" ref="AW34:AW65" si="13">IF(B34="CRUISING",5,0)</f>
        <v>5</v>
      </c>
      <c r="AX34" s="5">
        <f t="shared" ref="AX34:AX65" si="14">IF(B34="DECELERATION",5,0)</f>
        <v>0</v>
      </c>
      <c r="AY34" s="5">
        <f t="shared" ref="AY34:AY65" si="15">IF(B34="END",5,0)</f>
        <v>0</v>
      </c>
      <c r="AZ34" s="5">
        <f t="shared" si="9"/>
        <v>0</v>
      </c>
    </row>
    <row r="35" spans="1:52" x14ac:dyDescent="0.3">
      <c r="A35" s="5" t="s">
        <v>52</v>
      </c>
      <c r="B35" s="5" t="s">
        <v>56</v>
      </c>
      <c r="C35" s="5" t="s">
        <v>54</v>
      </c>
      <c r="D35" s="5" t="s">
        <v>56</v>
      </c>
      <c r="E35" s="5" t="s">
        <v>55</v>
      </c>
      <c r="F35" s="5">
        <v>2</v>
      </c>
      <c r="G35" s="5">
        <v>0.04</v>
      </c>
      <c r="H35" s="5" t="b">
        <v>0</v>
      </c>
      <c r="I35" s="5" t="b">
        <v>0</v>
      </c>
      <c r="J35" s="5" t="b">
        <v>0</v>
      </c>
      <c r="K35" s="5">
        <v>2.9529999999999998</v>
      </c>
      <c r="L35" s="5">
        <v>5.1999999999999998E-2</v>
      </c>
      <c r="M35" s="5">
        <v>-5.8000000000000003E-2</v>
      </c>
      <c r="N35" s="5">
        <v>186606.092</v>
      </c>
      <c r="O35" s="5">
        <v>2.3E-2</v>
      </c>
      <c r="P35" s="5">
        <v>5.0000000000000001E-3</v>
      </c>
      <c r="Q35" s="6">
        <v>1E-3</v>
      </c>
      <c r="R35" s="6">
        <v>0.18</v>
      </c>
      <c r="S35" s="7">
        <v>455.762</v>
      </c>
      <c r="T35" s="5">
        <v>1838.375</v>
      </c>
      <c r="U35" s="5">
        <v>1.952</v>
      </c>
      <c r="V35" s="5">
        <v>2.4790000000000001</v>
      </c>
      <c r="W35" s="5">
        <v>2.0739999999999998</v>
      </c>
      <c r="X35" s="5">
        <v>3.907</v>
      </c>
      <c r="Y35" s="5">
        <v>10.414</v>
      </c>
      <c r="Z35" s="5">
        <v>1035</v>
      </c>
      <c r="AA35" s="5">
        <v>5270</v>
      </c>
      <c r="AB35" s="5">
        <v>1254</v>
      </c>
      <c r="AC35" s="5">
        <v>0.06</v>
      </c>
      <c r="AD35" s="5">
        <v>1</v>
      </c>
      <c r="AE35" s="5">
        <v>0</v>
      </c>
      <c r="AF35" s="5">
        <v>0</v>
      </c>
      <c r="AG35" s="5">
        <v>1</v>
      </c>
      <c r="AH35" s="5">
        <v>2.86</v>
      </c>
      <c r="AI35" s="5">
        <v>2.8627400000000001</v>
      </c>
      <c r="AJ35" s="5">
        <v>3.6999999999999999E-4</v>
      </c>
      <c r="AK35" s="5">
        <v>0</v>
      </c>
      <c r="AL35" s="5">
        <v>0</v>
      </c>
      <c r="AM35" s="5">
        <v>0</v>
      </c>
      <c r="AN35" s="5">
        <v>0.28699999999999998</v>
      </c>
      <c r="AO35" s="6">
        <f t="shared" si="5"/>
        <v>0.19639468690702086</v>
      </c>
      <c r="AP35" s="5">
        <f t="shared" si="6"/>
        <v>219</v>
      </c>
      <c r="AQ35" s="8">
        <f t="shared" si="0"/>
        <v>0.67384615384615387</v>
      </c>
      <c r="AR35" s="6">
        <f t="shared" si="7"/>
        <v>0.23795066413662239</v>
      </c>
      <c r="AS35" s="6">
        <f t="shared" si="8"/>
        <v>0.74161869285472393</v>
      </c>
      <c r="AT35" s="6">
        <f t="shared" si="11"/>
        <v>8.859119126439291E-2</v>
      </c>
      <c r="AU35" s="6">
        <f t="shared" si="10"/>
        <v>0</v>
      </c>
      <c r="AV35" s="5">
        <f t="shared" si="12"/>
        <v>0</v>
      </c>
      <c r="AW35" s="5">
        <f t="shared" si="13"/>
        <v>5</v>
      </c>
      <c r="AX35" s="5">
        <f t="shared" si="14"/>
        <v>0</v>
      </c>
      <c r="AY35" s="5">
        <f t="shared" si="15"/>
        <v>0</v>
      </c>
      <c r="AZ35" s="5">
        <f t="shared" si="9"/>
        <v>0</v>
      </c>
    </row>
    <row r="36" spans="1:52" x14ac:dyDescent="0.3">
      <c r="A36" s="5" t="s">
        <v>52</v>
      </c>
      <c r="B36" s="5" t="s">
        <v>56</v>
      </c>
      <c r="C36" s="5" t="s">
        <v>54</v>
      </c>
      <c r="D36" s="5" t="s">
        <v>56</v>
      </c>
      <c r="E36" s="5" t="s">
        <v>55</v>
      </c>
      <c r="F36" s="5">
        <v>2</v>
      </c>
      <c r="G36" s="5">
        <v>0.04</v>
      </c>
      <c r="H36" s="5" t="b">
        <v>0</v>
      </c>
      <c r="I36" s="5" t="b">
        <v>0</v>
      </c>
      <c r="J36" s="5" t="b">
        <v>0</v>
      </c>
      <c r="K36" s="5">
        <v>2.9529999999999998</v>
      </c>
      <c r="L36" s="5">
        <v>5.1999999999999998E-2</v>
      </c>
      <c r="M36" s="5">
        <v>-5.8000000000000003E-2</v>
      </c>
      <c r="N36" s="5">
        <v>-102449.103</v>
      </c>
      <c r="O36" s="5">
        <v>-4.1000000000000002E-2</v>
      </c>
      <c r="P36" s="5">
        <v>5.0000000000000001E-3</v>
      </c>
      <c r="Q36" s="6">
        <v>1E-3</v>
      </c>
      <c r="R36" s="6">
        <v>0.18</v>
      </c>
      <c r="S36" s="7">
        <v>468.84300000000002</v>
      </c>
      <c r="T36" s="5">
        <v>1838.375</v>
      </c>
      <c r="U36" s="5">
        <v>1.7210000000000001</v>
      </c>
      <c r="V36" s="5">
        <v>2.407</v>
      </c>
      <c r="W36" s="5">
        <v>1.589</v>
      </c>
      <c r="X36" s="5">
        <v>3.8929999999999998</v>
      </c>
      <c r="Y36" s="5">
        <v>9.6150000000000002</v>
      </c>
      <c r="Z36" s="5">
        <v>1073</v>
      </c>
      <c r="AA36" s="5">
        <v>5270</v>
      </c>
      <c r="AB36" s="5">
        <v>1293</v>
      </c>
      <c r="AC36" s="5">
        <v>0.06</v>
      </c>
      <c r="AD36" s="5">
        <v>1</v>
      </c>
      <c r="AE36" s="5">
        <v>0</v>
      </c>
      <c r="AF36" s="5">
        <v>0</v>
      </c>
      <c r="AG36" s="5">
        <v>1</v>
      </c>
      <c r="AH36" s="5">
        <v>2.86</v>
      </c>
      <c r="AI36" s="5">
        <v>2.8613900000000001</v>
      </c>
      <c r="AJ36" s="5">
        <v>-1E-4</v>
      </c>
      <c r="AK36" s="5">
        <v>-2.7E-4</v>
      </c>
      <c r="AL36" s="5">
        <v>0</v>
      </c>
      <c r="AM36" s="5">
        <v>0</v>
      </c>
      <c r="AN36" s="5">
        <v>0.28699999999999998</v>
      </c>
      <c r="AO36" s="6">
        <f t="shared" si="5"/>
        <v>0.20360531309297913</v>
      </c>
      <c r="AP36" s="5">
        <f t="shared" si="6"/>
        <v>220</v>
      </c>
      <c r="AQ36" s="8">
        <f t="shared" si="0"/>
        <v>0.67692307692307696</v>
      </c>
      <c r="AR36" s="6">
        <f t="shared" si="7"/>
        <v>0.24535104364326377</v>
      </c>
      <c r="AS36" s="6">
        <f t="shared" si="8"/>
        <v>0.74500507958008799</v>
      </c>
      <c r="AT36" s="6">
        <f t="shared" si="11"/>
        <v>8.7686210247638702E-2</v>
      </c>
      <c r="AU36" s="6">
        <f t="shared" si="10"/>
        <v>7.6446754835257147E-2</v>
      </c>
      <c r="AV36" s="5">
        <f t="shared" si="12"/>
        <v>0</v>
      </c>
      <c r="AW36" s="5">
        <f t="shared" si="13"/>
        <v>5</v>
      </c>
      <c r="AX36" s="5">
        <f t="shared" si="14"/>
        <v>0</v>
      </c>
      <c r="AY36" s="5">
        <f t="shared" si="15"/>
        <v>0</v>
      </c>
      <c r="AZ36" s="5">
        <f t="shared" si="9"/>
        <v>0</v>
      </c>
    </row>
    <row r="37" spans="1:52" x14ac:dyDescent="0.3">
      <c r="A37" s="5" t="s">
        <v>52</v>
      </c>
      <c r="B37" s="5" t="s">
        <v>56</v>
      </c>
      <c r="C37" s="5" t="s">
        <v>54</v>
      </c>
      <c r="D37" s="5" t="s">
        <v>56</v>
      </c>
      <c r="E37" s="5" t="s">
        <v>55</v>
      </c>
      <c r="F37" s="5">
        <v>2</v>
      </c>
      <c r="G37" s="5">
        <v>0.04</v>
      </c>
      <c r="H37" s="5" t="b">
        <v>0</v>
      </c>
      <c r="I37" s="5" t="b">
        <v>0</v>
      </c>
      <c r="J37" s="5" t="b">
        <v>0</v>
      </c>
      <c r="K37" s="5">
        <v>2.9529999999999998</v>
      </c>
      <c r="L37" s="5">
        <v>5.1999999999999998E-2</v>
      </c>
      <c r="M37" s="5">
        <v>-5.8000000000000003E-2</v>
      </c>
      <c r="N37" s="5">
        <v>-771438.12800000003</v>
      </c>
      <c r="O37" s="5">
        <v>-5.0000000000000001E-3</v>
      </c>
      <c r="P37" s="5">
        <v>5.0000000000000001E-3</v>
      </c>
      <c r="Q37" s="6">
        <v>1E-3</v>
      </c>
      <c r="R37" s="6">
        <v>0.18</v>
      </c>
      <c r="S37" s="7">
        <v>481.08300000000003</v>
      </c>
      <c r="T37" s="5">
        <v>1838.375</v>
      </c>
      <c r="U37" s="5">
        <v>1.508</v>
      </c>
      <c r="V37" s="5">
        <v>2.234</v>
      </c>
      <c r="W37" s="5">
        <v>1.456</v>
      </c>
      <c r="X37" s="5">
        <v>3.6059999999999999</v>
      </c>
      <c r="Y37" s="5">
        <v>8.8070000000000004</v>
      </c>
      <c r="Z37" s="5">
        <v>1108</v>
      </c>
      <c r="AA37" s="5">
        <v>5270</v>
      </c>
      <c r="AB37" s="5">
        <v>1329</v>
      </c>
      <c r="AC37" s="5">
        <v>0.06</v>
      </c>
      <c r="AD37" s="5">
        <v>1</v>
      </c>
      <c r="AE37" s="5">
        <v>0</v>
      </c>
      <c r="AF37" s="5">
        <v>0</v>
      </c>
      <c r="AG37" s="5">
        <v>1</v>
      </c>
      <c r="AH37" s="5">
        <v>2.86</v>
      </c>
      <c r="AI37" s="5">
        <v>2.8630800000000001</v>
      </c>
      <c r="AJ37" s="5">
        <v>1.3999999999999999E-4</v>
      </c>
      <c r="AK37" s="5">
        <v>-6.0000000000000002E-5</v>
      </c>
      <c r="AL37" s="5">
        <v>0</v>
      </c>
      <c r="AM37" s="5">
        <v>0</v>
      </c>
      <c r="AN37" s="5">
        <v>0.28699999999999998</v>
      </c>
      <c r="AO37" s="6">
        <f t="shared" si="5"/>
        <v>0.21024667931688804</v>
      </c>
      <c r="AP37" s="5">
        <f t="shared" si="6"/>
        <v>221</v>
      </c>
      <c r="AQ37" s="8">
        <f t="shared" si="0"/>
        <v>0.68</v>
      </c>
      <c r="AR37" s="6">
        <f t="shared" si="7"/>
        <v>0.2521821631878558</v>
      </c>
      <c r="AS37" s="6">
        <f t="shared" si="8"/>
        <v>0.74839146630545206</v>
      </c>
      <c r="AT37" s="6">
        <f t="shared" si="11"/>
        <v>7.4014074726763607E-2</v>
      </c>
      <c r="AU37" s="6">
        <f t="shared" si="10"/>
        <v>8.1699346405228704E-2</v>
      </c>
      <c r="AV37" s="5">
        <f t="shared" si="12"/>
        <v>0</v>
      </c>
      <c r="AW37" s="5">
        <f t="shared" si="13"/>
        <v>5</v>
      </c>
      <c r="AX37" s="5">
        <f t="shared" si="14"/>
        <v>0</v>
      </c>
      <c r="AY37" s="5">
        <f t="shared" si="15"/>
        <v>0</v>
      </c>
      <c r="AZ37" s="5">
        <f t="shared" si="9"/>
        <v>0</v>
      </c>
    </row>
    <row r="38" spans="1:52" x14ac:dyDescent="0.3">
      <c r="A38" s="5" t="s">
        <v>52</v>
      </c>
      <c r="B38" s="5" t="s">
        <v>56</v>
      </c>
      <c r="C38" s="5" t="s">
        <v>54</v>
      </c>
      <c r="D38" s="5" t="s">
        <v>56</v>
      </c>
      <c r="E38" s="5" t="s">
        <v>55</v>
      </c>
      <c r="F38" s="5">
        <v>2</v>
      </c>
      <c r="G38" s="5">
        <v>0.04</v>
      </c>
      <c r="H38" s="5" t="b">
        <v>0</v>
      </c>
      <c r="I38" s="5" t="b">
        <v>0</v>
      </c>
      <c r="J38" s="5" t="b">
        <v>0</v>
      </c>
      <c r="K38" s="5">
        <v>2.9529999999999998</v>
      </c>
      <c r="L38" s="5">
        <v>5.1999999999999998E-2</v>
      </c>
      <c r="M38" s="5">
        <v>-5.8000000000000003E-2</v>
      </c>
      <c r="N38" s="5">
        <v>-33254.455999999998</v>
      </c>
      <c r="O38" s="5">
        <v>-0.125</v>
      </c>
      <c r="P38" s="5">
        <v>5.0000000000000001E-3</v>
      </c>
      <c r="Q38" s="6">
        <v>1E-3</v>
      </c>
      <c r="R38" s="6">
        <v>0.18</v>
      </c>
      <c r="S38" s="7">
        <v>492.5</v>
      </c>
      <c r="T38" s="5">
        <v>1838.375</v>
      </c>
      <c r="U38" s="5">
        <v>2.0009999999999999</v>
      </c>
      <c r="V38" s="5">
        <v>2.3170000000000002</v>
      </c>
      <c r="W38" s="5">
        <v>1.7809999999999999</v>
      </c>
      <c r="X38" s="5">
        <v>5.0599999999999996</v>
      </c>
      <c r="Y38" s="5">
        <v>11.164</v>
      </c>
      <c r="Z38" s="5">
        <v>1141</v>
      </c>
      <c r="AA38" s="5">
        <v>5270</v>
      </c>
      <c r="AB38" s="5">
        <v>1363</v>
      </c>
      <c r="AC38" s="5">
        <v>0.06</v>
      </c>
      <c r="AD38" s="5">
        <v>1</v>
      </c>
      <c r="AE38" s="5">
        <v>0</v>
      </c>
      <c r="AF38" s="5">
        <v>0</v>
      </c>
      <c r="AG38" s="5">
        <v>1</v>
      </c>
      <c r="AH38" s="5">
        <v>2.86</v>
      </c>
      <c r="AI38" s="5">
        <v>2.8705500000000002</v>
      </c>
      <c r="AJ38" s="5">
        <v>6.6E-4</v>
      </c>
      <c r="AK38" s="5">
        <v>0</v>
      </c>
      <c r="AL38" s="5">
        <v>0</v>
      </c>
      <c r="AM38" s="5">
        <v>0</v>
      </c>
      <c r="AN38" s="5">
        <v>0.28399999999999997</v>
      </c>
      <c r="AO38" s="6">
        <f t="shared" si="5"/>
        <v>0.21650853889943075</v>
      </c>
      <c r="AP38" s="5">
        <f t="shared" si="6"/>
        <v>222</v>
      </c>
      <c r="AQ38" s="8">
        <f t="shared" si="0"/>
        <v>0.68307692307692303</v>
      </c>
      <c r="AR38" s="6">
        <f t="shared" si="7"/>
        <v>0.25863377609108157</v>
      </c>
      <c r="AS38" s="6">
        <f t="shared" si="8"/>
        <v>0.75177785303081612</v>
      </c>
      <c r="AT38" s="6">
        <f t="shared" si="11"/>
        <v>9.1531811435180924E-2</v>
      </c>
      <c r="AU38" s="6">
        <f t="shared" si="10"/>
        <v>8.7588683542086571E-2</v>
      </c>
      <c r="AV38" s="5">
        <f t="shared" si="12"/>
        <v>0</v>
      </c>
      <c r="AW38" s="5">
        <f t="shared" si="13"/>
        <v>5</v>
      </c>
      <c r="AX38" s="5">
        <f t="shared" si="14"/>
        <v>0</v>
      </c>
      <c r="AY38" s="5">
        <f t="shared" si="15"/>
        <v>0</v>
      </c>
      <c r="AZ38" s="5">
        <f t="shared" si="9"/>
        <v>0</v>
      </c>
    </row>
    <row r="39" spans="1:52" x14ac:dyDescent="0.3">
      <c r="A39" s="5" t="s">
        <v>52</v>
      </c>
      <c r="B39" s="5" t="s">
        <v>56</v>
      </c>
      <c r="C39" s="5" t="s">
        <v>54</v>
      </c>
      <c r="D39" s="5" t="s">
        <v>56</v>
      </c>
      <c r="E39" s="5" t="s">
        <v>55</v>
      </c>
      <c r="F39" s="5">
        <v>2</v>
      </c>
      <c r="G39" s="5">
        <v>0.04</v>
      </c>
      <c r="H39" s="5" t="b">
        <v>0</v>
      </c>
      <c r="I39" s="5" t="b">
        <v>0</v>
      </c>
      <c r="J39" s="5" t="b">
        <v>0</v>
      </c>
      <c r="K39" s="5">
        <v>2.9529999999999998</v>
      </c>
      <c r="L39" s="5">
        <v>5.1999999999999998E-2</v>
      </c>
      <c r="M39" s="5">
        <v>-5.8000000000000003E-2</v>
      </c>
      <c r="N39" s="5">
        <v>16744.376</v>
      </c>
      <c r="O39" s="5">
        <v>0.247</v>
      </c>
      <c r="P39" s="5">
        <v>5.0000000000000001E-3</v>
      </c>
      <c r="Q39" s="6">
        <v>1E-3</v>
      </c>
      <c r="R39" s="6">
        <v>0.18</v>
      </c>
      <c r="S39" s="7">
        <v>508.04500000000002</v>
      </c>
      <c r="T39" s="5">
        <v>1838.375</v>
      </c>
      <c r="U39" s="5">
        <v>1.952</v>
      </c>
      <c r="V39" s="5">
        <v>2.3740000000000001</v>
      </c>
      <c r="W39" s="5">
        <v>1.506</v>
      </c>
      <c r="X39" s="5">
        <v>3.9489999999999998</v>
      </c>
      <c r="Y39" s="5">
        <v>9.7840000000000007</v>
      </c>
      <c r="Z39" s="5">
        <v>1186</v>
      </c>
      <c r="AA39" s="5">
        <v>5270</v>
      </c>
      <c r="AB39" s="5">
        <v>1404</v>
      </c>
      <c r="AC39" s="5">
        <v>0.06</v>
      </c>
      <c r="AD39" s="5">
        <v>1</v>
      </c>
      <c r="AE39" s="5">
        <v>0</v>
      </c>
      <c r="AF39" s="5">
        <v>0</v>
      </c>
      <c r="AG39" s="5">
        <v>1</v>
      </c>
      <c r="AH39" s="5">
        <v>2.84</v>
      </c>
      <c r="AI39" s="5">
        <v>2.88611</v>
      </c>
      <c r="AJ39" s="5">
        <v>1E-3</v>
      </c>
      <c r="AK39" s="5">
        <v>4.2999999999999999E-4</v>
      </c>
      <c r="AL39" s="5">
        <v>0</v>
      </c>
      <c r="AM39" s="5">
        <v>0</v>
      </c>
      <c r="AN39" s="5">
        <v>0.28699999999999998</v>
      </c>
      <c r="AO39" s="6">
        <f t="shared" si="5"/>
        <v>0.22504743833017077</v>
      </c>
      <c r="AP39" s="5">
        <f t="shared" si="6"/>
        <v>218</v>
      </c>
      <c r="AQ39" s="8">
        <f t="shared" si="0"/>
        <v>0.67076923076923078</v>
      </c>
      <c r="AR39" s="6">
        <f t="shared" si="7"/>
        <v>0.26641366223908919</v>
      </c>
      <c r="AS39" s="6">
        <f t="shared" si="8"/>
        <v>0.73823230612935997</v>
      </c>
      <c r="AT39" s="6">
        <f t="shared" si="11"/>
        <v>-2.3165361280785778E-3</v>
      </c>
      <c r="AU39" s="6">
        <f t="shared" si="10"/>
        <v>-0.2573174654229653</v>
      </c>
      <c r="AV39" s="5">
        <f t="shared" si="12"/>
        <v>0</v>
      </c>
      <c r="AW39" s="5">
        <f t="shared" si="13"/>
        <v>5</v>
      </c>
      <c r="AX39" s="5">
        <f t="shared" si="14"/>
        <v>0</v>
      </c>
      <c r="AY39" s="5">
        <f t="shared" si="15"/>
        <v>0</v>
      </c>
      <c r="AZ39" s="5">
        <f t="shared" si="9"/>
        <v>0</v>
      </c>
    </row>
    <row r="40" spans="1:52" x14ac:dyDescent="0.3">
      <c r="A40" s="5" t="s">
        <v>52</v>
      </c>
      <c r="B40" s="5" t="s">
        <v>56</v>
      </c>
      <c r="C40" s="5" t="s">
        <v>54</v>
      </c>
      <c r="D40" s="5" t="s">
        <v>56</v>
      </c>
      <c r="E40" s="5" t="s">
        <v>55</v>
      </c>
      <c r="F40" s="5">
        <v>2</v>
      </c>
      <c r="G40" s="5">
        <v>0.04</v>
      </c>
      <c r="H40" s="5" t="b">
        <v>0</v>
      </c>
      <c r="I40" s="5" t="b">
        <v>0</v>
      </c>
      <c r="J40" s="5" t="b">
        <v>0</v>
      </c>
      <c r="K40" s="5">
        <v>2.9529999999999998</v>
      </c>
      <c r="L40" s="5">
        <v>5.1999999999999998E-2</v>
      </c>
      <c r="M40" s="5">
        <v>-5.8000000000000003E-2</v>
      </c>
      <c r="N40" s="5">
        <v>22149.266</v>
      </c>
      <c r="O40" s="5">
        <v>0.184</v>
      </c>
      <c r="P40" s="5">
        <v>5.0000000000000001E-3</v>
      </c>
      <c r="Q40" s="6">
        <v>1E-3</v>
      </c>
      <c r="R40" s="6">
        <v>0.18</v>
      </c>
      <c r="S40" s="7">
        <v>520.46299999999997</v>
      </c>
      <c r="T40" s="5">
        <v>1838.375</v>
      </c>
      <c r="U40" s="5">
        <v>1.62</v>
      </c>
      <c r="V40" s="5">
        <v>2.34</v>
      </c>
      <c r="W40" s="5">
        <v>1.4410000000000001</v>
      </c>
      <c r="X40" s="5">
        <v>3.6019999999999999</v>
      </c>
      <c r="Y40" s="5">
        <v>9.0069999999999997</v>
      </c>
      <c r="Z40" s="5">
        <v>1221</v>
      </c>
      <c r="AA40" s="5">
        <v>5270</v>
      </c>
      <c r="AB40" s="5">
        <v>1446</v>
      </c>
      <c r="AC40" s="5">
        <v>0.06</v>
      </c>
      <c r="AD40" s="5">
        <v>1</v>
      </c>
      <c r="AE40" s="5">
        <v>0</v>
      </c>
      <c r="AF40" s="5">
        <v>0</v>
      </c>
      <c r="AG40" s="5">
        <v>1</v>
      </c>
      <c r="AH40" s="5">
        <v>2.88</v>
      </c>
      <c r="AI40" s="5">
        <v>2.8747600000000002</v>
      </c>
      <c r="AJ40" s="5">
        <v>-9.1E-4</v>
      </c>
      <c r="AK40" s="5">
        <v>1.9000000000000001E-4</v>
      </c>
      <c r="AL40" s="5">
        <v>0</v>
      </c>
      <c r="AM40" s="5">
        <v>0</v>
      </c>
      <c r="AN40" s="5">
        <v>0.28699999999999998</v>
      </c>
      <c r="AO40" s="6">
        <f t="shared" si="5"/>
        <v>0.2316888045540797</v>
      </c>
      <c r="AP40" s="5">
        <f t="shared" si="6"/>
        <v>225</v>
      </c>
      <c r="AQ40" s="8">
        <f t="shared" si="0"/>
        <v>0.69230769230769229</v>
      </c>
      <c r="AR40" s="6">
        <f t="shared" si="7"/>
        <v>0.27438330170777986</v>
      </c>
      <c r="AS40" s="6">
        <f t="shared" si="8"/>
        <v>0.76193701320690821</v>
      </c>
      <c r="AT40" s="6">
        <f t="shared" si="11"/>
        <v>0.11042303546154983</v>
      </c>
      <c r="AU40" s="6">
        <f t="shared" si="10"/>
        <v>0.56369785794814209</v>
      </c>
      <c r="AV40" s="5">
        <f t="shared" si="12"/>
        <v>0</v>
      </c>
      <c r="AW40" s="5">
        <f t="shared" si="13"/>
        <v>5</v>
      </c>
      <c r="AX40" s="5">
        <f t="shared" si="14"/>
        <v>0</v>
      </c>
      <c r="AY40" s="5">
        <f t="shared" si="15"/>
        <v>0</v>
      </c>
      <c r="AZ40" s="5">
        <f t="shared" si="9"/>
        <v>0</v>
      </c>
    </row>
    <row r="41" spans="1:52" x14ac:dyDescent="0.3">
      <c r="A41" s="5" t="s">
        <v>52</v>
      </c>
      <c r="B41" s="5" t="s">
        <v>56</v>
      </c>
      <c r="C41" s="5" t="s">
        <v>54</v>
      </c>
      <c r="D41" s="5" t="s">
        <v>56</v>
      </c>
      <c r="E41" s="5" t="s">
        <v>55</v>
      </c>
      <c r="F41" s="5">
        <v>2</v>
      </c>
      <c r="G41" s="5">
        <v>0.04</v>
      </c>
      <c r="H41" s="5" t="b">
        <v>0</v>
      </c>
      <c r="I41" s="5" t="b">
        <v>0</v>
      </c>
      <c r="J41" s="5" t="b">
        <v>0</v>
      </c>
      <c r="K41" s="5">
        <v>2.9529999999999998</v>
      </c>
      <c r="L41" s="5">
        <v>5.1999999999999998E-2</v>
      </c>
      <c r="M41" s="5">
        <v>-5.8000000000000003E-2</v>
      </c>
      <c r="N41" s="5">
        <v>-27195.07</v>
      </c>
      <c r="O41" s="5">
        <v>-0.14899999999999999</v>
      </c>
      <c r="P41" s="5">
        <v>5.0000000000000001E-3</v>
      </c>
      <c r="Q41" s="6">
        <v>1E-3</v>
      </c>
      <c r="R41" s="6">
        <v>0.18</v>
      </c>
      <c r="S41" s="7">
        <v>532.125</v>
      </c>
      <c r="T41" s="5">
        <v>1838.375</v>
      </c>
      <c r="U41" s="5">
        <v>1.5289999999999999</v>
      </c>
      <c r="V41" s="5">
        <v>2.302</v>
      </c>
      <c r="W41" s="5">
        <v>2.0550000000000002</v>
      </c>
      <c r="X41" s="5">
        <v>3.758</v>
      </c>
      <c r="Y41" s="5">
        <v>9.6479999999999997</v>
      </c>
      <c r="Z41" s="5">
        <v>1254</v>
      </c>
      <c r="AA41" s="5">
        <v>5270</v>
      </c>
      <c r="AB41" s="5">
        <v>1480</v>
      </c>
      <c r="AC41" s="5">
        <v>0.06</v>
      </c>
      <c r="AD41" s="5">
        <v>1</v>
      </c>
      <c r="AE41" s="5">
        <v>0</v>
      </c>
      <c r="AF41" s="5">
        <v>0</v>
      </c>
      <c r="AG41" s="5">
        <v>1</v>
      </c>
      <c r="AH41" s="5">
        <v>2.86</v>
      </c>
      <c r="AI41" s="5">
        <v>2.8601800000000002</v>
      </c>
      <c r="AJ41" s="5">
        <v>-1.25E-3</v>
      </c>
      <c r="AK41" s="5">
        <v>-2.0000000000000002E-5</v>
      </c>
      <c r="AL41" s="5">
        <v>0</v>
      </c>
      <c r="AM41" s="5">
        <v>0</v>
      </c>
      <c r="AN41" s="5">
        <v>0.28399999999999997</v>
      </c>
      <c r="AO41" s="6">
        <f t="shared" si="5"/>
        <v>0.23795066413662239</v>
      </c>
      <c r="AP41" s="5">
        <f t="shared" si="6"/>
        <v>226</v>
      </c>
      <c r="AQ41" s="8">
        <f t="shared" si="0"/>
        <v>0.69538461538461538</v>
      </c>
      <c r="AR41" s="6">
        <f t="shared" si="7"/>
        <v>0.28083491461100568</v>
      </c>
      <c r="AS41" s="6">
        <f t="shared" si="8"/>
        <v>0.76532339993227227</v>
      </c>
      <c r="AT41" s="6">
        <f t="shared" si="11"/>
        <v>0.11228340152416738</v>
      </c>
      <c r="AU41" s="6">
        <f t="shared" si="10"/>
        <v>8.5748585148344797E-2</v>
      </c>
      <c r="AV41" s="5">
        <f t="shared" si="12"/>
        <v>0</v>
      </c>
      <c r="AW41" s="5">
        <f t="shared" si="13"/>
        <v>5</v>
      </c>
      <c r="AX41" s="5">
        <f t="shared" si="14"/>
        <v>0</v>
      </c>
      <c r="AY41" s="5">
        <f t="shared" si="15"/>
        <v>0</v>
      </c>
      <c r="AZ41" s="5">
        <f t="shared" si="9"/>
        <v>0</v>
      </c>
    </row>
    <row r="42" spans="1:52" x14ac:dyDescent="0.3">
      <c r="A42" s="5" t="s">
        <v>52</v>
      </c>
      <c r="B42" s="5" t="s">
        <v>56</v>
      </c>
      <c r="C42" s="5" t="s">
        <v>54</v>
      </c>
      <c r="D42" s="5" t="s">
        <v>56</v>
      </c>
      <c r="E42" s="5" t="s">
        <v>55</v>
      </c>
      <c r="F42" s="5">
        <v>2</v>
      </c>
      <c r="G42" s="5">
        <v>0.04</v>
      </c>
      <c r="H42" s="5" t="b">
        <v>0</v>
      </c>
      <c r="I42" s="5" t="b">
        <v>0</v>
      </c>
      <c r="J42" s="5" t="b">
        <v>0</v>
      </c>
      <c r="K42" s="5">
        <v>2.9529999999999998</v>
      </c>
      <c r="L42" s="5">
        <v>5.1999999999999998E-2</v>
      </c>
      <c r="M42" s="5">
        <v>-5.8000000000000003E-2</v>
      </c>
      <c r="N42" s="5">
        <v>50857.728999999999</v>
      </c>
      <c r="O42" s="5">
        <v>7.9000000000000001E-2</v>
      </c>
      <c r="P42" s="5">
        <v>5.0000000000000001E-3</v>
      </c>
      <c r="Q42" s="6">
        <v>1E-3</v>
      </c>
      <c r="R42" s="6">
        <v>0.18</v>
      </c>
      <c r="S42" s="7">
        <v>544.42999999999995</v>
      </c>
      <c r="T42" s="5">
        <v>1838.375</v>
      </c>
      <c r="U42" s="5">
        <v>1.4370000000000001</v>
      </c>
      <c r="V42" s="5">
        <v>2.177</v>
      </c>
      <c r="W42" s="5">
        <v>1.5609999999999999</v>
      </c>
      <c r="X42" s="5">
        <v>3.8919999999999999</v>
      </c>
      <c r="Y42" s="5">
        <v>9.0709999999999997</v>
      </c>
      <c r="Z42" s="5">
        <v>1289</v>
      </c>
      <c r="AA42" s="5">
        <v>5270</v>
      </c>
      <c r="AB42" s="5">
        <v>1516</v>
      </c>
      <c r="AC42" s="5">
        <v>0.06</v>
      </c>
      <c r="AD42" s="5">
        <v>1</v>
      </c>
      <c r="AE42" s="5">
        <v>0</v>
      </c>
      <c r="AF42" s="5">
        <v>0</v>
      </c>
      <c r="AG42" s="5">
        <v>1</v>
      </c>
      <c r="AH42" s="5">
        <v>2.86</v>
      </c>
      <c r="AI42" s="5">
        <v>2.8572700000000002</v>
      </c>
      <c r="AJ42" s="5">
        <v>-2.4000000000000001E-4</v>
      </c>
      <c r="AK42" s="5">
        <v>-9.0000000000000006E-5</v>
      </c>
      <c r="AL42" s="5">
        <v>0</v>
      </c>
      <c r="AM42" s="5">
        <v>0</v>
      </c>
      <c r="AN42" s="5">
        <v>0.28399999999999997</v>
      </c>
      <c r="AO42" s="6">
        <f t="shared" si="5"/>
        <v>0.24459203036053132</v>
      </c>
      <c r="AP42" s="5">
        <f t="shared" si="6"/>
        <v>227</v>
      </c>
      <c r="AQ42" s="8">
        <f t="shared" si="0"/>
        <v>0.69846153846153847</v>
      </c>
      <c r="AR42" s="6">
        <f t="shared" si="7"/>
        <v>0.28766603415559772</v>
      </c>
      <c r="AS42" s="6">
        <f t="shared" si="8"/>
        <v>0.76870978665763623</v>
      </c>
      <c r="AT42" s="6">
        <f t="shared" si="11"/>
        <v>0.11219708770837973</v>
      </c>
      <c r="AU42" s="6">
        <f t="shared" si="10"/>
        <v>8.1267777326290452E-2</v>
      </c>
      <c r="AV42" s="5">
        <f t="shared" si="12"/>
        <v>0</v>
      </c>
      <c r="AW42" s="5">
        <f t="shared" si="13"/>
        <v>5</v>
      </c>
      <c r="AX42" s="5">
        <f t="shared" si="14"/>
        <v>0</v>
      </c>
      <c r="AY42" s="5">
        <f t="shared" si="15"/>
        <v>0</v>
      </c>
      <c r="AZ42" s="5">
        <f t="shared" si="9"/>
        <v>0</v>
      </c>
    </row>
    <row r="43" spans="1:52" x14ac:dyDescent="0.3">
      <c r="A43" s="5" t="s">
        <v>52</v>
      </c>
      <c r="B43" s="5" t="s">
        <v>56</v>
      </c>
      <c r="C43" s="5" t="s">
        <v>54</v>
      </c>
      <c r="D43" s="5" t="s">
        <v>56</v>
      </c>
      <c r="E43" s="5" t="s">
        <v>55</v>
      </c>
      <c r="F43" s="5">
        <v>2</v>
      </c>
      <c r="G43" s="5">
        <v>0.04</v>
      </c>
      <c r="H43" s="5" t="b">
        <v>0</v>
      </c>
      <c r="I43" s="5" t="b">
        <v>0</v>
      </c>
      <c r="J43" s="5" t="b">
        <v>0</v>
      </c>
      <c r="K43" s="5">
        <v>2.9529999999999998</v>
      </c>
      <c r="L43" s="5">
        <v>5.1999999999999998E-2</v>
      </c>
      <c r="M43" s="5">
        <v>-5.8000000000000003E-2</v>
      </c>
      <c r="N43" s="5">
        <v>32653.935000000001</v>
      </c>
      <c r="O43" s="5">
        <v>0.122</v>
      </c>
      <c r="P43" s="5">
        <v>5.0000000000000001E-3</v>
      </c>
      <c r="Q43" s="6">
        <v>1E-3</v>
      </c>
      <c r="R43" s="6">
        <v>0.18</v>
      </c>
      <c r="S43" s="7">
        <v>556.16200000000003</v>
      </c>
      <c r="T43" s="5">
        <v>1838.375</v>
      </c>
      <c r="U43" s="5">
        <v>1.623</v>
      </c>
      <c r="V43" s="5">
        <v>2.2679999999999998</v>
      </c>
      <c r="W43" s="5">
        <v>1.462</v>
      </c>
      <c r="X43" s="5">
        <v>3.88</v>
      </c>
      <c r="Y43" s="5">
        <v>9.2360000000000007</v>
      </c>
      <c r="Z43" s="5">
        <v>1323</v>
      </c>
      <c r="AA43" s="5">
        <v>5270</v>
      </c>
      <c r="AB43" s="5">
        <v>1551</v>
      </c>
      <c r="AC43" s="5">
        <v>0.06</v>
      </c>
      <c r="AD43" s="5">
        <v>1</v>
      </c>
      <c r="AE43" s="5">
        <v>0</v>
      </c>
      <c r="AF43" s="5">
        <v>0</v>
      </c>
      <c r="AG43" s="5">
        <v>1</v>
      </c>
      <c r="AH43" s="5">
        <v>2.88</v>
      </c>
      <c r="AI43" s="5">
        <v>2.8588399999999998</v>
      </c>
      <c r="AJ43" s="5">
        <v>1.2999999999999999E-4</v>
      </c>
      <c r="AK43" s="5">
        <v>-1.8000000000000001E-4</v>
      </c>
      <c r="AL43" s="5">
        <v>0</v>
      </c>
      <c r="AM43" s="5">
        <v>0</v>
      </c>
      <c r="AN43" s="5">
        <v>0.28399999999999997</v>
      </c>
      <c r="AO43" s="6">
        <f t="shared" si="5"/>
        <v>0.25104364326375711</v>
      </c>
      <c r="AP43" s="5">
        <f t="shared" si="6"/>
        <v>228</v>
      </c>
      <c r="AQ43" s="8">
        <f t="shared" si="0"/>
        <v>0.70153846153846156</v>
      </c>
      <c r="AR43" s="6">
        <f t="shared" si="7"/>
        <v>0.29430740037950665</v>
      </c>
      <c r="AS43" s="6">
        <f t="shared" si="8"/>
        <v>0.77209617338300029</v>
      </c>
      <c r="AT43" s="6">
        <f t="shared" si="11"/>
        <v>0.11172674274902468</v>
      </c>
      <c r="AU43" s="6">
        <f t="shared" si="10"/>
        <v>8.5236958745311356E-2</v>
      </c>
      <c r="AV43" s="5">
        <f t="shared" si="12"/>
        <v>0</v>
      </c>
      <c r="AW43" s="5">
        <f t="shared" si="13"/>
        <v>5</v>
      </c>
      <c r="AX43" s="5">
        <f t="shared" si="14"/>
        <v>0</v>
      </c>
      <c r="AY43" s="5">
        <f t="shared" si="15"/>
        <v>0</v>
      </c>
      <c r="AZ43" s="5">
        <f t="shared" si="9"/>
        <v>0</v>
      </c>
    </row>
    <row r="44" spans="1:52" x14ac:dyDescent="0.3">
      <c r="A44" s="5" t="s">
        <v>52</v>
      </c>
      <c r="B44" s="5" t="s">
        <v>56</v>
      </c>
      <c r="C44" s="5" t="s">
        <v>54</v>
      </c>
      <c r="D44" s="5" t="s">
        <v>56</v>
      </c>
      <c r="E44" s="5" t="s">
        <v>55</v>
      </c>
      <c r="F44" s="5">
        <v>2</v>
      </c>
      <c r="G44" s="5">
        <v>0.04</v>
      </c>
      <c r="H44" s="5" t="b">
        <v>0</v>
      </c>
      <c r="I44" s="5" t="b">
        <v>0</v>
      </c>
      <c r="J44" s="5" t="b">
        <v>0</v>
      </c>
      <c r="K44" s="5">
        <v>2.9529999999999998</v>
      </c>
      <c r="L44" s="5">
        <v>5.1999999999999998E-2</v>
      </c>
      <c r="M44" s="5">
        <v>-5.8000000000000003E-2</v>
      </c>
      <c r="N44" s="5">
        <v>93915.589000000007</v>
      </c>
      <c r="O44" s="5">
        <v>4.2000000000000003E-2</v>
      </c>
      <c r="P44" s="5">
        <v>5.0000000000000001E-3</v>
      </c>
      <c r="Q44" s="6">
        <v>1E-3</v>
      </c>
      <c r="R44" s="6">
        <v>0.18</v>
      </c>
      <c r="S44" s="7">
        <v>568.01199999999994</v>
      </c>
      <c r="T44" s="5">
        <v>1838.375</v>
      </c>
      <c r="U44" s="5">
        <v>3.1920000000000002</v>
      </c>
      <c r="V44" s="5">
        <v>2.2389999999999999</v>
      </c>
      <c r="W44" s="5">
        <v>1.5189999999999999</v>
      </c>
      <c r="X44" s="5">
        <v>3.97</v>
      </c>
      <c r="Y44" s="5">
        <v>10.923999999999999</v>
      </c>
      <c r="Z44" s="5">
        <v>1357</v>
      </c>
      <c r="AA44" s="5">
        <v>5270</v>
      </c>
      <c r="AB44" s="5">
        <v>1586</v>
      </c>
      <c r="AC44" s="5">
        <v>0.06</v>
      </c>
      <c r="AD44" s="5">
        <v>1</v>
      </c>
      <c r="AE44" s="5">
        <v>0</v>
      </c>
      <c r="AF44" s="5">
        <v>0</v>
      </c>
      <c r="AG44" s="5">
        <v>1</v>
      </c>
      <c r="AH44" s="5">
        <v>2.84</v>
      </c>
      <c r="AI44" s="5">
        <v>2.8515299999999999</v>
      </c>
      <c r="AJ44" s="5">
        <v>-6.2E-4</v>
      </c>
      <c r="AK44" s="5">
        <v>-5.8E-4</v>
      </c>
      <c r="AL44" s="5">
        <v>0</v>
      </c>
      <c r="AM44" s="5">
        <v>0</v>
      </c>
      <c r="AN44" s="5">
        <v>0.28399999999999997</v>
      </c>
      <c r="AO44" s="6">
        <f t="shared" si="5"/>
        <v>0.25749525616698293</v>
      </c>
      <c r="AP44" s="5">
        <f t="shared" si="6"/>
        <v>229</v>
      </c>
      <c r="AQ44" s="8">
        <f t="shared" si="0"/>
        <v>0.70461538461538464</v>
      </c>
      <c r="AR44" s="6">
        <f t="shared" si="7"/>
        <v>0.30094876660341557</v>
      </c>
      <c r="AS44" s="6">
        <f t="shared" si="8"/>
        <v>0.77548256010836436</v>
      </c>
      <c r="AT44" s="6">
        <f t="shared" si="11"/>
        <v>0.18006787296441956</v>
      </c>
      <c r="AU44" s="6">
        <f t="shared" si="10"/>
        <v>8.4388185654009087E-2</v>
      </c>
      <c r="AV44" s="5">
        <f t="shared" si="12"/>
        <v>0</v>
      </c>
      <c r="AW44" s="5">
        <f t="shared" si="13"/>
        <v>5</v>
      </c>
      <c r="AX44" s="5">
        <f t="shared" si="14"/>
        <v>0</v>
      </c>
      <c r="AY44" s="5">
        <f t="shared" si="15"/>
        <v>0</v>
      </c>
      <c r="AZ44" s="5">
        <f t="shared" si="9"/>
        <v>0</v>
      </c>
    </row>
    <row r="45" spans="1:52" x14ac:dyDescent="0.3">
      <c r="A45" s="5" t="s">
        <v>52</v>
      </c>
      <c r="B45" s="5" t="s">
        <v>56</v>
      </c>
      <c r="C45" s="5" t="s">
        <v>54</v>
      </c>
      <c r="D45" s="5" t="s">
        <v>56</v>
      </c>
      <c r="E45" s="5" t="s">
        <v>55</v>
      </c>
      <c r="F45" s="5">
        <v>2</v>
      </c>
      <c r="G45" s="5">
        <v>0.04</v>
      </c>
      <c r="H45" s="5" t="b">
        <v>0</v>
      </c>
      <c r="I45" s="5" t="b">
        <v>0</v>
      </c>
      <c r="J45" s="5" t="b">
        <v>0</v>
      </c>
      <c r="K45" s="5">
        <v>2.9529999999999998</v>
      </c>
      <c r="L45" s="5">
        <v>5.1999999999999998E-2</v>
      </c>
      <c r="M45" s="5">
        <v>-5.8000000000000003E-2</v>
      </c>
      <c r="N45" s="5">
        <v>14843.291999999999</v>
      </c>
      <c r="O45" s="5">
        <v>0.26400000000000001</v>
      </c>
      <c r="P45" s="5">
        <v>5.0000000000000001E-3</v>
      </c>
      <c r="Q45" s="6">
        <v>1E-3</v>
      </c>
      <c r="R45" s="6">
        <v>0.18</v>
      </c>
      <c r="S45" s="7">
        <v>581.524</v>
      </c>
      <c r="T45" s="5">
        <v>1838.375</v>
      </c>
      <c r="U45" s="5">
        <v>1.59</v>
      </c>
      <c r="V45" s="5">
        <v>2.2509999999999999</v>
      </c>
      <c r="W45" s="5">
        <v>1.829</v>
      </c>
      <c r="X45" s="5">
        <v>3.8250000000000002</v>
      </c>
      <c r="Y45" s="5">
        <v>9.4979999999999993</v>
      </c>
      <c r="Z45" s="5">
        <v>1396</v>
      </c>
      <c r="AA45" s="5">
        <v>5270</v>
      </c>
      <c r="AB45" s="5">
        <v>1626</v>
      </c>
      <c r="AC45" s="5">
        <v>0.06</v>
      </c>
      <c r="AD45" s="5">
        <v>1</v>
      </c>
      <c r="AE45" s="5">
        <v>0</v>
      </c>
      <c r="AF45" s="5">
        <v>0</v>
      </c>
      <c r="AG45" s="5">
        <v>1</v>
      </c>
      <c r="AH45" s="5">
        <v>2.88</v>
      </c>
      <c r="AI45" s="5">
        <v>2.86599</v>
      </c>
      <c r="AJ45" s="5">
        <v>1.07E-3</v>
      </c>
      <c r="AK45" s="5">
        <v>-1.3999999999999999E-4</v>
      </c>
      <c r="AL45" s="5">
        <v>0</v>
      </c>
      <c r="AM45" s="5">
        <v>0</v>
      </c>
      <c r="AN45" s="5">
        <v>0.28399999999999997</v>
      </c>
      <c r="AO45" s="6">
        <f t="shared" si="5"/>
        <v>0.26489563567362429</v>
      </c>
      <c r="AP45" s="5">
        <f t="shared" si="6"/>
        <v>230</v>
      </c>
      <c r="AQ45" s="8">
        <f t="shared" si="0"/>
        <v>0.70769230769230773</v>
      </c>
      <c r="AR45" s="6">
        <f t="shared" si="7"/>
        <v>0.30853889943074003</v>
      </c>
      <c r="AS45" s="6">
        <f t="shared" si="8"/>
        <v>0.77886894683372843</v>
      </c>
      <c r="AT45" s="6">
        <f t="shared" si="11"/>
        <v>8.2129959160463062E-2</v>
      </c>
      <c r="AU45" s="6">
        <f t="shared" si="10"/>
        <v>7.4008288928359658E-2</v>
      </c>
      <c r="AV45" s="5">
        <f t="shared" si="12"/>
        <v>0</v>
      </c>
      <c r="AW45" s="5">
        <f t="shared" si="13"/>
        <v>5</v>
      </c>
      <c r="AX45" s="5">
        <f t="shared" si="14"/>
        <v>0</v>
      </c>
      <c r="AY45" s="5">
        <f t="shared" si="15"/>
        <v>0</v>
      </c>
      <c r="AZ45" s="5">
        <f t="shared" si="9"/>
        <v>0</v>
      </c>
    </row>
    <row r="46" spans="1:52" x14ac:dyDescent="0.3">
      <c r="A46" s="5" t="s">
        <v>52</v>
      </c>
      <c r="B46" s="5" t="s">
        <v>56</v>
      </c>
      <c r="C46" s="5" t="s">
        <v>54</v>
      </c>
      <c r="D46" s="5" t="s">
        <v>56</v>
      </c>
      <c r="E46" s="5" t="s">
        <v>55</v>
      </c>
      <c r="F46" s="5">
        <v>2</v>
      </c>
      <c r="G46" s="5">
        <v>0.04</v>
      </c>
      <c r="H46" s="5" t="b">
        <v>0</v>
      </c>
      <c r="I46" s="5" t="b">
        <v>0</v>
      </c>
      <c r="J46" s="5" t="b">
        <v>0</v>
      </c>
      <c r="K46" s="5">
        <v>2.9529999999999998</v>
      </c>
      <c r="L46" s="5">
        <v>5.1999999999999998E-2</v>
      </c>
      <c r="M46" s="5">
        <v>-5.8000000000000003E-2</v>
      </c>
      <c r="N46" s="5">
        <v>39734.974999999999</v>
      </c>
      <c r="O46" s="5">
        <v>9.7000000000000003E-2</v>
      </c>
      <c r="P46" s="5">
        <v>5.0000000000000001E-3</v>
      </c>
      <c r="Q46" s="6">
        <v>1E-3</v>
      </c>
      <c r="R46" s="6">
        <v>0.18</v>
      </c>
      <c r="S46" s="7">
        <v>593.83900000000006</v>
      </c>
      <c r="T46" s="5">
        <v>1838.375</v>
      </c>
      <c r="U46" s="5">
        <v>1.716</v>
      </c>
      <c r="V46" s="5">
        <v>2.3690000000000002</v>
      </c>
      <c r="W46" s="5">
        <v>1.7649999999999999</v>
      </c>
      <c r="X46" s="5">
        <v>3.871</v>
      </c>
      <c r="Y46" s="5">
        <v>9.7240000000000002</v>
      </c>
      <c r="Z46" s="5">
        <v>1431</v>
      </c>
      <c r="AA46" s="5">
        <v>5270</v>
      </c>
      <c r="AB46" s="5">
        <v>1662</v>
      </c>
      <c r="AC46" s="5">
        <v>0.06</v>
      </c>
      <c r="AD46" s="5">
        <v>1</v>
      </c>
      <c r="AE46" s="5">
        <v>0</v>
      </c>
      <c r="AF46" s="5">
        <v>0</v>
      </c>
      <c r="AG46" s="5">
        <v>1</v>
      </c>
      <c r="AH46" s="5">
        <v>2.9</v>
      </c>
      <c r="AI46" s="5">
        <v>2.86809</v>
      </c>
      <c r="AJ46" s="5">
        <v>1.7000000000000001E-4</v>
      </c>
      <c r="AK46" s="5">
        <v>1.2999999999999999E-4</v>
      </c>
      <c r="AL46" s="5">
        <v>0</v>
      </c>
      <c r="AM46" s="5">
        <v>0</v>
      </c>
      <c r="AN46" s="5">
        <v>0.28699999999999998</v>
      </c>
      <c r="AO46" s="6">
        <f t="shared" si="5"/>
        <v>0.27153700189753321</v>
      </c>
      <c r="AP46" s="5">
        <f t="shared" si="6"/>
        <v>231</v>
      </c>
      <c r="AQ46" s="8">
        <f t="shared" si="0"/>
        <v>0.71076923076923082</v>
      </c>
      <c r="AR46" s="6">
        <f t="shared" si="7"/>
        <v>0.31537001897533207</v>
      </c>
      <c r="AS46" s="6">
        <f t="shared" si="8"/>
        <v>0.78225533355909238</v>
      </c>
      <c r="AT46" s="6">
        <f t="shared" si="11"/>
        <v>8.1220599418654366E-2</v>
      </c>
      <c r="AU46" s="6">
        <f t="shared" si="10"/>
        <v>8.1201786439301302E-2</v>
      </c>
      <c r="AV46" s="5">
        <f t="shared" si="12"/>
        <v>0</v>
      </c>
      <c r="AW46" s="5">
        <f t="shared" si="13"/>
        <v>5</v>
      </c>
      <c r="AX46" s="5">
        <f t="shared" si="14"/>
        <v>0</v>
      </c>
      <c r="AY46" s="5">
        <f t="shared" si="15"/>
        <v>0</v>
      </c>
      <c r="AZ46" s="5">
        <f t="shared" si="9"/>
        <v>0</v>
      </c>
    </row>
    <row r="47" spans="1:52" x14ac:dyDescent="0.3">
      <c r="A47" s="5" t="s">
        <v>52</v>
      </c>
      <c r="B47" s="5" t="s">
        <v>56</v>
      </c>
      <c r="C47" s="5" t="s">
        <v>54</v>
      </c>
      <c r="D47" s="5" t="s">
        <v>56</v>
      </c>
      <c r="E47" s="5" t="s">
        <v>55</v>
      </c>
      <c r="F47" s="5">
        <v>2</v>
      </c>
      <c r="G47" s="5">
        <v>0.04</v>
      </c>
      <c r="H47" s="5" t="b">
        <v>0</v>
      </c>
      <c r="I47" s="5" t="b">
        <v>0</v>
      </c>
      <c r="J47" s="5" t="b">
        <v>0</v>
      </c>
      <c r="K47" s="5">
        <v>2.9529999999999998</v>
      </c>
      <c r="L47" s="5">
        <v>5.1999999999999998E-2</v>
      </c>
      <c r="M47" s="5">
        <v>-5.8000000000000003E-2</v>
      </c>
      <c r="N47" s="5">
        <v>-86567.702999999994</v>
      </c>
      <c r="O47" s="5">
        <v>-4.3999999999999997E-2</v>
      </c>
      <c r="P47" s="5">
        <v>5.0000000000000001E-3</v>
      </c>
      <c r="Q47" s="6">
        <v>1E-3</v>
      </c>
      <c r="R47" s="6">
        <v>0.18</v>
      </c>
      <c r="S47" s="7">
        <v>606.20799999999997</v>
      </c>
      <c r="T47" s="5">
        <v>1838.375</v>
      </c>
      <c r="U47" s="5">
        <v>1.4850000000000001</v>
      </c>
      <c r="V47" s="5">
        <v>2.4969999999999999</v>
      </c>
      <c r="W47" s="5">
        <v>2.0649999999999999</v>
      </c>
      <c r="X47" s="5">
        <v>4.5549999999999997</v>
      </c>
      <c r="Y47" s="5">
        <v>10.606</v>
      </c>
      <c r="Z47" s="5">
        <v>1467</v>
      </c>
      <c r="AA47" s="5">
        <v>5270</v>
      </c>
      <c r="AB47" s="5">
        <v>1699</v>
      </c>
      <c r="AC47" s="5">
        <v>0.06</v>
      </c>
      <c r="AD47" s="5">
        <v>1</v>
      </c>
      <c r="AE47" s="5">
        <v>0</v>
      </c>
      <c r="AF47" s="5">
        <v>0</v>
      </c>
      <c r="AG47" s="5">
        <v>1</v>
      </c>
      <c r="AH47" s="5">
        <v>2.86</v>
      </c>
      <c r="AI47" s="5">
        <v>2.8813</v>
      </c>
      <c r="AJ47" s="5">
        <v>1.07E-3</v>
      </c>
      <c r="AK47" s="5">
        <v>3.8999999999999999E-4</v>
      </c>
      <c r="AL47" s="5">
        <v>0</v>
      </c>
      <c r="AM47" s="5">
        <v>0</v>
      </c>
      <c r="AN47" s="5">
        <v>0.28399999999999997</v>
      </c>
      <c r="AO47" s="6">
        <f t="shared" si="5"/>
        <v>0.27836812144212525</v>
      </c>
      <c r="AP47" s="5">
        <f t="shared" si="6"/>
        <v>232</v>
      </c>
      <c r="AQ47" s="8">
        <f t="shared" si="0"/>
        <v>0.7138461538461538</v>
      </c>
      <c r="AR47" s="6">
        <f t="shared" si="7"/>
        <v>0.32239089184060721</v>
      </c>
      <c r="AS47" s="6">
        <f t="shared" si="8"/>
        <v>0.78564172028445645</v>
      </c>
      <c r="AT47" s="6">
        <f t="shared" si="11"/>
        <v>8.113649985120544E-2</v>
      </c>
      <c r="AU47" s="6">
        <f t="shared" si="10"/>
        <v>8.0847279489045756E-2</v>
      </c>
      <c r="AV47" s="5">
        <f t="shared" si="12"/>
        <v>0</v>
      </c>
      <c r="AW47" s="5">
        <f t="shared" si="13"/>
        <v>5</v>
      </c>
      <c r="AX47" s="5">
        <f t="shared" si="14"/>
        <v>0</v>
      </c>
      <c r="AY47" s="5">
        <f t="shared" si="15"/>
        <v>0</v>
      </c>
      <c r="AZ47" s="5">
        <f t="shared" si="9"/>
        <v>0</v>
      </c>
    </row>
    <row r="48" spans="1:52" x14ac:dyDescent="0.3">
      <c r="A48" s="5" t="s">
        <v>52</v>
      </c>
      <c r="B48" s="5" t="s">
        <v>56</v>
      </c>
      <c r="C48" s="5" t="s">
        <v>54</v>
      </c>
      <c r="D48" s="5" t="s">
        <v>56</v>
      </c>
      <c r="E48" s="5" t="s">
        <v>55</v>
      </c>
      <c r="F48" s="5">
        <v>2</v>
      </c>
      <c r="G48" s="5">
        <v>0.04</v>
      </c>
      <c r="H48" s="5" t="b">
        <v>0</v>
      </c>
      <c r="I48" s="5" t="b">
        <v>0</v>
      </c>
      <c r="J48" s="5" t="b">
        <v>0</v>
      </c>
      <c r="K48" s="5">
        <v>2.9529999999999998</v>
      </c>
      <c r="L48" s="5">
        <v>5.1999999999999998E-2</v>
      </c>
      <c r="M48" s="5">
        <v>-5.8000000000000003E-2</v>
      </c>
      <c r="N48" s="5">
        <v>19711.814999999999</v>
      </c>
      <c r="O48" s="5">
        <v>0.193</v>
      </c>
      <c r="P48" s="5">
        <v>5.0000000000000001E-3</v>
      </c>
      <c r="Q48" s="6">
        <v>1E-3</v>
      </c>
      <c r="R48" s="6">
        <v>0.18</v>
      </c>
      <c r="S48" s="7">
        <v>620.50800000000004</v>
      </c>
      <c r="T48" s="5">
        <v>1838.375</v>
      </c>
      <c r="U48" s="5">
        <v>1.73</v>
      </c>
      <c r="V48" s="5">
        <v>2.2309999999999999</v>
      </c>
      <c r="W48" s="5">
        <v>1.4590000000000001</v>
      </c>
      <c r="X48" s="5">
        <v>3.7120000000000002</v>
      </c>
      <c r="Y48" s="5">
        <v>9.1349999999999998</v>
      </c>
      <c r="Z48" s="5">
        <v>1508</v>
      </c>
      <c r="AA48" s="5">
        <v>5270</v>
      </c>
      <c r="AB48" s="5">
        <v>1738</v>
      </c>
      <c r="AC48" s="5">
        <v>0.06</v>
      </c>
      <c r="AD48" s="5">
        <v>1</v>
      </c>
      <c r="AE48" s="5">
        <v>0</v>
      </c>
      <c r="AF48" s="5">
        <v>0</v>
      </c>
      <c r="AG48" s="5">
        <v>1</v>
      </c>
      <c r="AH48" s="5">
        <v>2.9</v>
      </c>
      <c r="AI48" s="5">
        <v>2.8751099999999998</v>
      </c>
      <c r="AJ48" s="5">
        <v>-4.2999999999999999E-4</v>
      </c>
      <c r="AK48" s="5">
        <v>2.5000000000000001E-4</v>
      </c>
      <c r="AL48" s="5">
        <v>0</v>
      </c>
      <c r="AM48" s="5">
        <v>0</v>
      </c>
      <c r="AN48" s="5">
        <v>0.28399999999999997</v>
      </c>
      <c r="AO48" s="6">
        <f t="shared" si="5"/>
        <v>0.28614800759013281</v>
      </c>
      <c r="AP48" s="5">
        <f t="shared" si="6"/>
        <v>230</v>
      </c>
      <c r="AQ48" s="8">
        <f t="shared" si="0"/>
        <v>0.70769230769230773</v>
      </c>
      <c r="AR48" s="6">
        <f t="shared" si="7"/>
        <v>0.32979127134724856</v>
      </c>
      <c r="AS48" s="6">
        <f t="shared" si="8"/>
        <v>0.77886894683372843</v>
      </c>
      <c r="AT48" s="6">
        <f t="shared" si="11"/>
        <v>3.6117080130115317E-2</v>
      </c>
      <c r="AU48" s="6">
        <f t="shared" si="10"/>
        <v>-0.1398601398601392</v>
      </c>
      <c r="AV48" s="5">
        <f t="shared" si="12"/>
        <v>0</v>
      </c>
      <c r="AW48" s="5">
        <f t="shared" si="13"/>
        <v>5</v>
      </c>
      <c r="AX48" s="5">
        <f t="shared" si="14"/>
        <v>0</v>
      </c>
      <c r="AY48" s="5">
        <f t="shared" si="15"/>
        <v>0</v>
      </c>
      <c r="AZ48" s="5">
        <f t="shared" si="9"/>
        <v>0</v>
      </c>
    </row>
    <row r="49" spans="1:52" x14ac:dyDescent="0.3">
      <c r="A49" s="5" t="s">
        <v>52</v>
      </c>
      <c r="B49" s="5" t="s">
        <v>56</v>
      </c>
      <c r="C49" s="5" t="s">
        <v>54</v>
      </c>
      <c r="D49" s="5" t="s">
        <v>56</v>
      </c>
      <c r="E49" s="5" t="s">
        <v>55</v>
      </c>
      <c r="F49" s="5">
        <v>2</v>
      </c>
      <c r="G49" s="5">
        <v>0.04</v>
      </c>
      <c r="H49" s="5" t="b">
        <v>0</v>
      </c>
      <c r="I49" s="5" t="b">
        <v>0</v>
      </c>
      <c r="J49" s="5" t="b">
        <v>0</v>
      </c>
      <c r="K49" s="5">
        <v>2.9529999999999998</v>
      </c>
      <c r="L49" s="5">
        <v>5.1999999999999998E-2</v>
      </c>
      <c r="M49" s="5">
        <v>-5.8000000000000003E-2</v>
      </c>
      <c r="N49" s="5">
        <v>-1083095.0789999999</v>
      </c>
      <c r="O49" s="5">
        <v>-3.0000000000000001E-3</v>
      </c>
      <c r="P49" s="5">
        <v>5.0000000000000001E-3</v>
      </c>
      <c r="Q49" s="6">
        <v>1E-3</v>
      </c>
      <c r="R49" s="6">
        <v>0.18</v>
      </c>
      <c r="S49" s="7">
        <v>636.23900000000003</v>
      </c>
      <c r="T49" s="5">
        <v>1838.375</v>
      </c>
      <c r="U49" s="5">
        <v>1.595</v>
      </c>
      <c r="V49" s="5">
        <v>2.214</v>
      </c>
      <c r="W49" s="5">
        <v>1.514</v>
      </c>
      <c r="X49" s="5">
        <v>3.9630000000000001</v>
      </c>
      <c r="Y49" s="5">
        <v>9.2899999999999991</v>
      </c>
      <c r="Z49" s="5">
        <v>1553</v>
      </c>
      <c r="AA49" s="5">
        <v>5270</v>
      </c>
      <c r="AB49" s="5">
        <v>1776</v>
      </c>
      <c r="AC49" s="5">
        <v>0.06</v>
      </c>
      <c r="AD49" s="5">
        <v>1</v>
      </c>
      <c r="AE49" s="5">
        <v>0</v>
      </c>
      <c r="AF49" s="5">
        <v>0</v>
      </c>
      <c r="AG49" s="5">
        <v>1</v>
      </c>
      <c r="AH49" s="5">
        <v>2.84</v>
      </c>
      <c r="AI49" s="5">
        <v>2.8727999999999998</v>
      </c>
      <c r="AJ49" s="5">
        <v>-1.4999999999999999E-4</v>
      </c>
      <c r="AK49" s="5">
        <v>3.1E-4</v>
      </c>
      <c r="AL49" s="5">
        <v>0</v>
      </c>
      <c r="AM49" s="5">
        <v>0</v>
      </c>
      <c r="AN49" s="5">
        <v>0.28399999999999997</v>
      </c>
      <c r="AO49" s="6">
        <f t="shared" si="5"/>
        <v>0.29468690702087286</v>
      </c>
      <c r="AP49" s="5">
        <f t="shared" si="6"/>
        <v>223</v>
      </c>
      <c r="AQ49" s="8">
        <f t="shared" si="0"/>
        <v>0.68615384615384611</v>
      </c>
      <c r="AR49" s="6">
        <f t="shared" si="7"/>
        <v>0.33700189753320681</v>
      </c>
      <c r="AS49" s="6">
        <f t="shared" si="8"/>
        <v>0.75516423975618008</v>
      </c>
      <c r="AT49" s="6">
        <f t="shared" si="11"/>
        <v>-6.9756806444459959E-2</v>
      </c>
      <c r="AU49" s="6">
        <f t="shared" si="10"/>
        <v>-0.44498124721886734</v>
      </c>
      <c r="AV49" s="5">
        <f t="shared" si="12"/>
        <v>0</v>
      </c>
      <c r="AW49" s="5">
        <f t="shared" si="13"/>
        <v>5</v>
      </c>
      <c r="AX49" s="5">
        <f t="shared" si="14"/>
        <v>0</v>
      </c>
      <c r="AY49" s="5">
        <f t="shared" si="15"/>
        <v>0</v>
      </c>
      <c r="AZ49" s="5">
        <f t="shared" si="9"/>
        <v>0</v>
      </c>
    </row>
    <row r="50" spans="1:52" x14ac:dyDescent="0.3">
      <c r="A50" s="5" t="s">
        <v>52</v>
      </c>
      <c r="B50" s="5" t="s">
        <v>56</v>
      </c>
      <c r="C50" s="5" t="s">
        <v>54</v>
      </c>
      <c r="D50" s="5" t="s">
        <v>56</v>
      </c>
      <c r="E50" s="5" t="s">
        <v>55</v>
      </c>
      <c r="F50" s="5">
        <v>2</v>
      </c>
      <c r="G50" s="5">
        <v>0.04</v>
      </c>
      <c r="H50" s="5" t="b">
        <v>0</v>
      </c>
      <c r="I50" s="5" t="b">
        <v>0</v>
      </c>
      <c r="J50" s="5" t="b">
        <v>0</v>
      </c>
      <c r="K50" s="5">
        <v>2.9529999999999998</v>
      </c>
      <c r="L50" s="5">
        <v>5.1999999999999998E-2</v>
      </c>
      <c r="M50" s="5">
        <v>-5.8000000000000003E-2</v>
      </c>
      <c r="N50" s="5">
        <v>-69379.289999999994</v>
      </c>
      <c r="O50" s="5">
        <v>-5.3999999999999999E-2</v>
      </c>
      <c r="P50" s="5">
        <v>5.0000000000000001E-3</v>
      </c>
      <c r="Q50" s="6">
        <v>1E-3</v>
      </c>
      <c r="R50" s="6">
        <v>0.18</v>
      </c>
      <c r="S50" s="7">
        <v>648.15</v>
      </c>
      <c r="T50" s="5">
        <v>1838.375</v>
      </c>
      <c r="U50" s="5">
        <v>1.88</v>
      </c>
      <c r="V50" s="5">
        <v>2.4300000000000002</v>
      </c>
      <c r="W50" s="5">
        <v>1.6439999999999999</v>
      </c>
      <c r="X50" s="5">
        <v>5.0289999999999999</v>
      </c>
      <c r="Y50" s="5">
        <v>10.987</v>
      </c>
      <c r="Z50" s="5">
        <v>1587</v>
      </c>
      <c r="AA50" s="5">
        <v>5270</v>
      </c>
      <c r="AB50" s="5">
        <v>1823</v>
      </c>
      <c r="AC50" s="5">
        <v>0.06</v>
      </c>
      <c r="AD50" s="5">
        <v>1</v>
      </c>
      <c r="AE50" s="5">
        <v>0</v>
      </c>
      <c r="AF50" s="5">
        <v>0</v>
      </c>
      <c r="AG50" s="5">
        <v>1</v>
      </c>
      <c r="AH50" s="5">
        <v>2.86</v>
      </c>
      <c r="AI50" s="5">
        <v>2.8667400000000001</v>
      </c>
      <c r="AJ50" s="5">
        <v>-5.1000000000000004E-4</v>
      </c>
      <c r="AK50" s="5">
        <v>1.0000000000000001E-5</v>
      </c>
      <c r="AL50" s="5">
        <v>0</v>
      </c>
      <c r="AM50" s="5">
        <v>0</v>
      </c>
      <c r="AN50" s="5">
        <v>0.28399999999999997</v>
      </c>
      <c r="AO50" s="6">
        <f t="shared" si="5"/>
        <v>0.30113851992409868</v>
      </c>
      <c r="AP50" s="5">
        <f t="shared" si="6"/>
        <v>236</v>
      </c>
      <c r="AQ50" s="8">
        <f t="shared" si="0"/>
        <v>0.72615384615384615</v>
      </c>
      <c r="AR50" s="6">
        <f t="shared" si="7"/>
        <v>0.34592030360531312</v>
      </c>
      <c r="AS50" s="6">
        <f t="shared" si="8"/>
        <v>0.7991872671859126</v>
      </c>
      <c r="AT50" s="6">
        <f t="shared" si="11"/>
        <v>0.13372715410586106</v>
      </c>
      <c r="AU50" s="6">
        <f t="shared" si="10"/>
        <v>1.0914280916799648</v>
      </c>
      <c r="AV50" s="5">
        <f t="shared" si="12"/>
        <v>0</v>
      </c>
      <c r="AW50" s="5">
        <f t="shared" si="13"/>
        <v>5</v>
      </c>
      <c r="AX50" s="5">
        <f t="shared" si="14"/>
        <v>0</v>
      </c>
      <c r="AY50" s="5">
        <f t="shared" si="15"/>
        <v>0</v>
      </c>
      <c r="AZ50" s="5">
        <f t="shared" si="9"/>
        <v>0</v>
      </c>
    </row>
    <row r="51" spans="1:52" x14ac:dyDescent="0.3">
      <c r="A51" s="5" t="s">
        <v>52</v>
      </c>
      <c r="B51" s="5" t="s">
        <v>56</v>
      </c>
      <c r="C51" s="5" t="s">
        <v>54</v>
      </c>
      <c r="D51" s="5" t="s">
        <v>56</v>
      </c>
      <c r="E51" s="5" t="s">
        <v>55</v>
      </c>
      <c r="F51" s="5">
        <v>2</v>
      </c>
      <c r="G51" s="5">
        <v>0.04</v>
      </c>
      <c r="H51" s="5" t="b">
        <v>0</v>
      </c>
      <c r="I51" s="5" t="b">
        <v>0</v>
      </c>
      <c r="J51" s="5" t="b">
        <v>0</v>
      </c>
      <c r="K51" s="5">
        <v>2.9529999999999998</v>
      </c>
      <c r="L51" s="5">
        <v>5.1999999999999998E-2</v>
      </c>
      <c r="M51" s="5">
        <v>-5.8000000000000003E-2</v>
      </c>
      <c r="N51" s="5">
        <v>12995.164000000001</v>
      </c>
      <c r="O51" s="5">
        <v>0.28299999999999997</v>
      </c>
      <c r="P51" s="5">
        <v>5.0000000000000001E-3</v>
      </c>
      <c r="Q51" s="6">
        <v>1E-3</v>
      </c>
      <c r="R51" s="6">
        <v>0.18</v>
      </c>
      <c r="S51" s="7">
        <v>662.18299999999999</v>
      </c>
      <c r="T51" s="5">
        <v>1838.375</v>
      </c>
      <c r="U51" s="5">
        <v>1.6839999999999999</v>
      </c>
      <c r="V51" s="5">
        <v>2.7029999999999998</v>
      </c>
      <c r="W51" s="5">
        <v>1.4570000000000001</v>
      </c>
      <c r="X51" s="5">
        <v>3.899</v>
      </c>
      <c r="Y51" s="5">
        <v>9.7460000000000004</v>
      </c>
      <c r="Z51" s="5">
        <v>1627</v>
      </c>
      <c r="AA51" s="5">
        <v>5270</v>
      </c>
      <c r="AB51" s="5">
        <v>1863</v>
      </c>
      <c r="AC51" s="5">
        <v>0.06</v>
      </c>
      <c r="AD51" s="5">
        <v>1</v>
      </c>
      <c r="AE51" s="5">
        <v>0</v>
      </c>
      <c r="AF51" s="5">
        <v>0</v>
      </c>
      <c r="AG51" s="5">
        <v>1</v>
      </c>
      <c r="AH51" s="5">
        <v>2.86</v>
      </c>
      <c r="AI51" s="5">
        <v>2.86781</v>
      </c>
      <c r="AJ51" s="5">
        <v>8.0000000000000007E-5</v>
      </c>
      <c r="AK51" s="5">
        <v>0</v>
      </c>
      <c r="AL51" s="5">
        <v>0</v>
      </c>
      <c r="AM51" s="5">
        <v>0</v>
      </c>
      <c r="AN51" s="5">
        <v>0.28000000000000003</v>
      </c>
      <c r="AO51" s="6">
        <f t="shared" si="5"/>
        <v>0.30872865275142314</v>
      </c>
      <c r="AP51" s="5">
        <f t="shared" si="6"/>
        <v>236</v>
      </c>
      <c r="AQ51" s="8">
        <f t="shared" si="0"/>
        <v>0.72615384615384615</v>
      </c>
      <c r="AR51" s="6">
        <f t="shared" si="7"/>
        <v>0.35351043643263758</v>
      </c>
      <c r="AS51" s="6">
        <f t="shared" si="8"/>
        <v>0.7991872671859126</v>
      </c>
      <c r="AT51" s="6">
        <f t="shared" si="11"/>
        <v>0.11748679681800081</v>
      </c>
      <c r="AU51" s="6">
        <f t="shared" si="10"/>
        <v>0</v>
      </c>
      <c r="AV51" s="5">
        <f t="shared" si="12"/>
        <v>0</v>
      </c>
      <c r="AW51" s="5">
        <f t="shared" si="13"/>
        <v>5</v>
      </c>
      <c r="AX51" s="5">
        <f t="shared" si="14"/>
        <v>0</v>
      </c>
      <c r="AY51" s="5">
        <f t="shared" si="15"/>
        <v>0</v>
      </c>
      <c r="AZ51" s="5">
        <f t="shared" si="9"/>
        <v>0</v>
      </c>
    </row>
    <row r="52" spans="1:52" x14ac:dyDescent="0.3">
      <c r="A52" s="5" t="s">
        <v>52</v>
      </c>
      <c r="B52" s="5" t="s">
        <v>56</v>
      </c>
      <c r="C52" s="5" t="s">
        <v>54</v>
      </c>
      <c r="D52" s="5" t="s">
        <v>56</v>
      </c>
      <c r="E52" s="5" t="s">
        <v>55</v>
      </c>
      <c r="F52" s="5">
        <v>2</v>
      </c>
      <c r="G52" s="5">
        <v>0.04</v>
      </c>
      <c r="H52" s="5" t="b">
        <v>0</v>
      </c>
      <c r="I52" s="5" t="b">
        <v>0</v>
      </c>
      <c r="J52" s="5" t="b">
        <v>0</v>
      </c>
      <c r="K52" s="5">
        <v>2.9529999999999998</v>
      </c>
      <c r="L52" s="5">
        <v>5.1999999999999998E-2</v>
      </c>
      <c r="M52" s="5">
        <v>-5.8000000000000003E-2</v>
      </c>
      <c r="N52" s="5">
        <v>25633.524000000001</v>
      </c>
      <c r="O52" s="5">
        <v>0.14199999999999999</v>
      </c>
      <c r="P52" s="5">
        <v>5.0000000000000001E-3</v>
      </c>
      <c r="Q52" s="6">
        <v>1E-3</v>
      </c>
      <c r="R52" s="6">
        <v>0.18</v>
      </c>
      <c r="S52" s="7">
        <v>674.57500000000005</v>
      </c>
      <c r="T52" s="5">
        <v>1838.375</v>
      </c>
      <c r="U52" s="5">
        <v>1.6779999999999999</v>
      </c>
      <c r="V52" s="5">
        <v>2.7509999999999999</v>
      </c>
      <c r="W52" s="5">
        <v>2.16</v>
      </c>
      <c r="X52" s="5">
        <v>4.0650000000000004</v>
      </c>
      <c r="Y52" s="5">
        <v>10.659000000000001</v>
      </c>
      <c r="Z52" s="5">
        <v>1663</v>
      </c>
      <c r="AA52" s="5">
        <v>5270</v>
      </c>
      <c r="AB52" s="5">
        <v>1901</v>
      </c>
      <c r="AC52" s="5">
        <v>0.06</v>
      </c>
      <c r="AD52" s="5">
        <v>1</v>
      </c>
      <c r="AE52" s="5">
        <v>0</v>
      </c>
      <c r="AF52" s="5">
        <v>0</v>
      </c>
      <c r="AG52" s="5">
        <v>1</v>
      </c>
      <c r="AH52" s="5">
        <v>2.84</v>
      </c>
      <c r="AI52" s="5">
        <v>2.86686</v>
      </c>
      <c r="AJ52" s="5">
        <v>-8.0000000000000007E-5</v>
      </c>
      <c r="AK52" s="5">
        <v>-2.1000000000000001E-4</v>
      </c>
      <c r="AL52" s="5">
        <v>0</v>
      </c>
      <c r="AM52" s="5">
        <v>0</v>
      </c>
      <c r="AN52" s="5">
        <v>0.28399999999999997</v>
      </c>
      <c r="AO52" s="6">
        <f t="shared" si="5"/>
        <v>0.31555977229601517</v>
      </c>
      <c r="AP52" s="5">
        <f t="shared" si="6"/>
        <v>238</v>
      </c>
      <c r="AQ52" s="8">
        <f t="shared" si="0"/>
        <v>0.73230769230769233</v>
      </c>
      <c r="AR52" s="6">
        <f t="shared" si="7"/>
        <v>0.36072106261859582</v>
      </c>
      <c r="AS52" s="6">
        <f t="shared" si="8"/>
        <v>0.80596004063664073</v>
      </c>
      <c r="AT52" s="6">
        <f t="shared" si="11"/>
        <v>0.13359623052638905</v>
      </c>
      <c r="AU52" s="6">
        <f t="shared" si="10"/>
        <v>0.16139444803098704</v>
      </c>
      <c r="AV52" s="5">
        <f t="shared" si="12"/>
        <v>0</v>
      </c>
      <c r="AW52" s="5">
        <f t="shared" si="13"/>
        <v>5</v>
      </c>
      <c r="AX52" s="5">
        <f t="shared" si="14"/>
        <v>0</v>
      </c>
      <c r="AY52" s="5">
        <f t="shared" si="15"/>
        <v>0</v>
      </c>
      <c r="AZ52" s="5">
        <f t="shared" si="9"/>
        <v>0</v>
      </c>
    </row>
    <row r="53" spans="1:52" x14ac:dyDescent="0.3">
      <c r="A53" s="5" t="s">
        <v>52</v>
      </c>
      <c r="B53" s="5" t="s">
        <v>56</v>
      </c>
      <c r="C53" s="5" t="s">
        <v>54</v>
      </c>
      <c r="D53" s="5" t="s">
        <v>56</v>
      </c>
      <c r="E53" s="5" t="s">
        <v>55</v>
      </c>
      <c r="F53" s="5">
        <v>2</v>
      </c>
      <c r="G53" s="5">
        <v>0.04</v>
      </c>
      <c r="H53" s="5" t="b">
        <v>0</v>
      </c>
      <c r="I53" s="5" t="b">
        <v>0</v>
      </c>
      <c r="J53" s="5" t="b">
        <v>0</v>
      </c>
      <c r="K53" s="5">
        <v>2.9529999999999998</v>
      </c>
      <c r="L53" s="5">
        <v>5.1999999999999998E-2</v>
      </c>
      <c r="M53" s="5">
        <v>-5.8000000000000003E-2</v>
      </c>
      <c r="N53" s="5">
        <v>104751.584</v>
      </c>
      <c r="O53" s="5">
        <v>3.4000000000000002E-2</v>
      </c>
      <c r="P53" s="5">
        <v>5.0000000000000001E-3</v>
      </c>
      <c r="Q53" s="6">
        <v>1E-3</v>
      </c>
      <c r="R53" s="6">
        <v>0.18</v>
      </c>
      <c r="S53" s="7">
        <v>688.26700000000005</v>
      </c>
      <c r="T53" s="5">
        <v>1838.375</v>
      </c>
      <c r="U53" s="5">
        <v>2.8010000000000002</v>
      </c>
      <c r="V53" s="5">
        <v>2.5539999999999998</v>
      </c>
      <c r="W53" s="5">
        <v>1.6259999999999999</v>
      </c>
      <c r="X53" s="5">
        <v>3.9380000000000002</v>
      </c>
      <c r="Y53" s="5">
        <v>10.922000000000001</v>
      </c>
      <c r="Z53" s="5">
        <v>1703</v>
      </c>
      <c r="AA53" s="5">
        <v>5270</v>
      </c>
      <c r="AB53" s="5">
        <v>1940</v>
      </c>
      <c r="AC53" s="5">
        <v>0.06</v>
      </c>
      <c r="AD53" s="5">
        <v>1</v>
      </c>
      <c r="AE53" s="5">
        <v>0</v>
      </c>
      <c r="AF53" s="5">
        <v>0</v>
      </c>
      <c r="AG53" s="5">
        <v>1</v>
      </c>
      <c r="AH53" s="5">
        <v>2.86</v>
      </c>
      <c r="AI53" s="5">
        <v>2.87785</v>
      </c>
      <c r="AJ53" s="5">
        <v>8.0000000000000004E-4</v>
      </c>
      <c r="AK53" s="5">
        <v>4.0000000000000003E-5</v>
      </c>
      <c r="AL53" s="5">
        <v>0</v>
      </c>
      <c r="AM53" s="5">
        <v>0</v>
      </c>
      <c r="AN53" s="5">
        <v>0.28000000000000003</v>
      </c>
      <c r="AO53" s="6">
        <f t="shared" si="5"/>
        <v>0.32314990512333963</v>
      </c>
      <c r="AP53" s="5">
        <f t="shared" si="6"/>
        <v>237</v>
      </c>
      <c r="AQ53" s="8">
        <f t="shared" si="0"/>
        <v>0.72923076923076924</v>
      </c>
      <c r="AR53" s="6">
        <f t="shared" si="7"/>
        <v>0.36812144212523717</v>
      </c>
      <c r="AS53" s="6">
        <f t="shared" si="8"/>
        <v>0.80257365391127666</v>
      </c>
      <c r="AT53" s="6">
        <f t="shared" si="11"/>
        <v>0.14696118867662317</v>
      </c>
      <c r="AU53" s="6">
        <f t="shared" si="10"/>
        <v>-7.3035349108968708E-2</v>
      </c>
      <c r="AV53" s="5">
        <f t="shared" si="12"/>
        <v>0</v>
      </c>
      <c r="AW53" s="5">
        <f t="shared" si="13"/>
        <v>5</v>
      </c>
      <c r="AX53" s="5">
        <f t="shared" si="14"/>
        <v>0</v>
      </c>
      <c r="AY53" s="5">
        <f t="shared" si="15"/>
        <v>0</v>
      </c>
      <c r="AZ53" s="5">
        <f t="shared" si="9"/>
        <v>0</v>
      </c>
    </row>
    <row r="54" spans="1:52" x14ac:dyDescent="0.3">
      <c r="A54" s="5" t="s">
        <v>52</v>
      </c>
      <c r="B54" s="5" t="s">
        <v>56</v>
      </c>
      <c r="C54" s="5" t="s">
        <v>54</v>
      </c>
      <c r="D54" s="5" t="s">
        <v>56</v>
      </c>
      <c r="E54" s="5" t="s">
        <v>55</v>
      </c>
      <c r="F54" s="5">
        <v>2</v>
      </c>
      <c r="G54" s="5">
        <v>0.04</v>
      </c>
      <c r="H54" s="5" t="b">
        <v>0</v>
      </c>
      <c r="I54" s="5" t="b">
        <v>0</v>
      </c>
      <c r="J54" s="5" t="b">
        <v>0</v>
      </c>
      <c r="K54" s="5">
        <v>2.9529999999999998</v>
      </c>
      <c r="L54" s="5">
        <v>5.1999999999999998E-2</v>
      </c>
      <c r="M54" s="5">
        <v>-5.8000000000000003E-2</v>
      </c>
      <c r="N54" s="5">
        <v>24019.398000000001</v>
      </c>
      <c r="O54" s="5">
        <v>0.14899999999999999</v>
      </c>
      <c r="P54" s="5">
        <v>5.0000000000000001E-3</v>
      </c>
      <c r="Q54" s="6">
        <v>1E-3</v>
      </c>
      <c r="R54" s="6">
        <v>0.18</v>
      </c>
      <c r="S54" s="7">
        <v>701.86699999999996</v>
      </c>
      <c r="T54" s="5">
        <v>1838.375</v>
      </c>
      <c r="U54" s="5">
        <v>1.7969999999999999</v>
      </c>
      <c r="V54" s="5">
        <v>2.2360000000000002</v>
      </c>
      <c r="W54" s="5">
        <v>1.4159999999999999</v>
      </c>
      <c r="X54" s="5">
        <v>3.899</v>
      </c>
      <c r="Y54" s="5">
        <v>9.3520000000000003</v>
      </c>
      <c r="Z54" s="5">
        <v>1741</v>
      </c>
      <c r="AA54" s="5">
        <v>5270</v>
      </c>
      <c r="AB54" s="5">
        <v>1981</v>
      </c>
      <c r="AC54" s="5">
        <v>0.06</v>
      </c>
      <c r="AD54" s="5">
        <v>1</v>
      </c>
      <c r="AE54" s="5">
        <v>0</v>
      </c>
      <c r="AF54" s="5">
        <v>0</v>
      </c>
      <c r="AG54" s="5">
        <v>1</v>
      </c>
      <c r="AH54" s="5">
        <v>2.88</v>
      </c>
      <c r="AI54" s="5">
        <v>2.8645999999999998</v>
      </c>
      <c r="AJ54" s="5">
        <v>-9.7000000000000005E-4</v>
      </c>
      <c r="AK54" s="5">
        <v>-1.2999999999999999E-4</v>
      </c>
      <c r="AL54" s="5">
        <v>0</v>
      </c>
      <c r="AM54" s="5">
        <v>0</v>
      </c>
      <c r="AN54" s="5">
        <v>0.28000000000000003</v>
      </c>
      <c r="AO54" s="6">
        <f t="shared" si="5"/>
        <v>0.33036053130929793</v>
      </c>
      <c r="AP54" s="5">
        <f t="shared" si="6"/>
        <v>240</v>
      </c>
      <c r="AQ54" s="8">
        <f t="shared" si="0"/>
        <v>0.7384615384615385</v>
      </c>
      <c r="AR54" s="6">
        <f t="shared" si="7"/>
        <v>0.37590132827324479</v>
      </c>
      <c r="AS54" s="6">
        <f t="shared" si="8"/>
        <v>0.81273281408736875</v>
      </c>
      <c r="AT54" s="6">
        <f t="shared" si="11"/>
        <v>0.28007508517922042</v>
      </c>
      <c r="AU54" s="6">
        <f t="shared" si="10"/>
        <v>0.22058823529411911</v>
      </c>
      <c r="AV54" s="5">
        <f t="shared" si="12"/>
        <v>0</v>
      </c>
      <c r="AW54" s="5">
        <f t="shared" si="13"/>
        <v>5</v>
      </c>
      <c r="AX54" s="5">
        <f t="shared" si="14"/>
        <v>0</v>
      </c>
      <c r="AY54" s="5">
        <f t="shared" si="15"/>
        <v>0</v>
      </c>
      <c r="AZ54" s="5">
        <f t="shared" si="9"/>
        <v>0</v>
      </c>
    </row>
    <row r="55" spans="1:52" x14ac:dyDescent="0.3">
      <c r="A55" s="5" t="s">
        <v>52</v>
      </c>
      <c r="B55" s="5" t="s">
        <v>56</v>
      </c>
      <c r="C55" s="5" t="s">
        <v>54</v>
      </c>
      <c r="D55" s="5" t="s">
        <v>56</v>
      </c>
      <c r="E55" s="5" t="s">
        <v>55</v>
      </c>
      <c r="F55" s="5">
        <v>2</v>
      </c>
      <c r="G55" s="5">
        <v>0.04</v>
      </c>
      <c r="H55" s="5" t="b">
        <v>0</v>
      </c>
      <c r="I55" s="5" t="b">
        <v>0</v>
      </c>
      <c r="J55" s="5" t="b">
        <v>0</v>
      </c>
      <c r="K55" s="5">
        <v>2.9529999999999998</v>
      </c>
      <c r="L55" s="5">
        <v>5.1999999999999998E-2</v>
      </c>
      <c r="M55" s="5">
        <v>-5.8000000000000003E-2</v>
      </c>
      <c r="N55" s="5">
        <v>-74715.201000000001</v>
      </c>
      <c r="O55" s="5">
        <v>-4.7E-2</v>
      </c>
      <c r="P55" s="5">
        <v>5.0000000000000001E-3</v>
      </c>
      <c r="Q55" s="6">
        <v>1E-3</v>
      </c>
      <c r="R55" s="6">
        <v>0.18</v>
      </c>
      <c r="S55" s="7">
        <v>714.00800000000004</v>
      </c>
      <c r="T55" s="5">
        <v>1838.375</v>
      </c>
      <c r="U55" s="5">
        <v>1.7769999999999999</v>
      </c>
      <c r="V55" s="5">
        <v>2.206</v>
      </c>
      <c r="W55" s="5">
        <v>1.4970000000000001</v>
      </c>
      <c r="X55" s="5">
        <v>4.09</v>
      </c>
      <c r="Y55" s="5">
        <v>9.5730000000000004</v>
      </c>
      <c r="Z55" s="5">
        <v>1776</v>
      </c>
      <c r="AA55" s="5">
        <v>5270</v>
      </c>
      <c r="AB55" s="5">
        <v>2017</v>
      </c>
      <c r="AC55" s="5">
        <v>0.06</v>
      </c>
      <c r="AD55" s="5">
        <v>1</v>
      </c>
      <c r="AE55" s="5">
        <v>0</v>
      </c>
      <c r="AF55" s="5">
        <v>0</v>
      </c>
      <c r="AG55" s="5">
        <v>1</v>
      </c>
      <c r="AH55" s="5">
        <v>2.88</v>
      </c>
      <c r="AI55" s="5">
        <v>2.8698100000000002</v>
      </c>
      <c r="AJ55" s="5">
        <v>4.2999999999999999E-4</v>
      </c>
      <c r="AK55" s="5">
        <v>5.0000000000000002E-5</v>
      </c>
      <c r="AL55" s="5">
        <v>0</v>
      </c>
      <c r="AM55" s="5">
        <v>0</v>
      </c>
      <c r="AN55" s="5">
        <v>0.28000000000000003</v>
      </c>
      <c r="AO55" s="6">
        <f t="shared" si="5"/>
        <v>0.33700189753320681</v>
      </c>
      <c r="AP55" s="5">
        <f t="shared" si="6"/>
        <v>241</v>
      </c>
      <c r="AQ55" s="8">
        <f t="shared" si="0"/>
        <v>0.74153846153846159</v>
      </c>
      <c r="AR55" s="6">
        <f t="shared" si="7"/>
        <v>0.38273244781783683</v>
      </c>
      <c r="AS55" s="6">
        <f t="shared" si="8"/>
        <v>0.81611920081273281</v>
      </c>
      <c r="AT55" s="6">
        <f t="shared" si="11"/>
        <v>7.8262574494985887E-2</v>
      </c>
      <c r="AU55" s="6">
        <f t="shared" si="10"/>
        <v>8.2365538258792004E-2</v>
      </c>
      <c r="AV55" s="5">
        <f t="shared" si="12"/>
        <v>0</v>
      </c>
      <c r="AW55" s="5">
        <f t="shared" si="13"/>
        <v>5</v>
      </c>
      <c r="AX55" s="5">
        <f t="shared" si="14"/>
        <v>0</v>
      </c>
      <c r="AY55" s="5">
        <f t="shared" si="15"/>
        <v>0</v>
      </c>
      <c r="AZ55" s="5">
        <f t="shared" si="9"/>
        <v>0</v>
      </c>
    </row>
    <row r="56" spans="1:52" x14ac:dyDescent="0.3">
      <c r="A56" s="5" t="s">
        <v>52</v>
      </c>
      <c r="B56" s="5" t="s">
        <v>56</v>
      </c>
      <c r="C56" s="5" t="s">
        <v>54</v>
      </c>
      <c r="D56" s="5" t="s">
        <v>56</v>
      </c>
      <c r="E56" s="5" t="s">
        <v>55</v>
      </c>
      <c r="F56" s="5">
        <v>2</v>
      </c>
      <c r="G56" s="5">
        <v>0.04</v>
      </c>
      <c r="H56" s="5" t="b">
        <v>0</v>
      </c>
      <c r="I56" s="5" t="b">
        <v>0</v>
      </c>
      <c r="J56" s="5" t="b">
        <v>0</v>
      </c>
      <c r="K56" s="5">
        <v>2.9529999999999998</v>
      </c>
      <c r="L56" s="5">
        <v>5.1999999999999998E-2</v>
      </c>
      <c r="M56" s="5">
        <v>-5.8000000000000003E-2</v>
      </c>
      <c r="N56" s="5">
        <v>-81970.955000000002</v>
      </c>
      <c r="O56" s="5">
        <v>-4.2999999999999997E-2</v>
      </c>
      <c r="P56" s="5">
        <v>5.0000000000000001E-3</v>
      </c>
      <c r="Q56" s="6">
        <v>1E-3</v>
      </c>
      <c r="R56" s="6">
        <v>0.18</v>
      </c>
      <c r="S56" s="7">
        <v>726.20799999999997</v>
      </c>
      <c r="T56" s="5">
        <v>1838.375</v>
      </c>
      <c r="U56" s="5">
        <v>1.694</v>
      </c>
      <c r="V56" s="5">
        <v>2.1930000000000001</v>
      </c>
      <c r="W56" s="5">
        <v>1.5780000000000001</v>
      </c>
      <c r="X56" s="5">
        <v>3.7730000000000001</v>
      </c>
      <c r="Y56" s="5">
        <v>9.2409999999999997</v>
      </c>
      <c r="Z56" s="5">
        <v>1811</v>
      </c>
      <c r="AA56" s="5">
        <v>5270</v>
      </c>
      <c r="AB56" s="5">
        <v>2053</v>
      </c>
      <c r="AC56" s="5">
        <v>0.06</v>
      </c>
      <c r="AD56" s="5">
        <v>1</v>
      </c>
      <c r="AE56" s="5">
        <v>0</v>
      </c>
      <c r="AF56" s="5">
        <v>0</v>
      </c>
      <c r="AG56" s="5">
        <v>1</v>
      </c>
      <c r="AH56" s="5">
        <v>2.9</v>
      </c>
      <c r="AI56" s="5">
        <v>2.8738899999999998</v>
      </c>
      <c r="AJ56" s="5">
        <v>3.3E-4</v>
      </c>
      <c r="AK56" s="5">
        <v>1E-4</v>
      </c>
      <c r="AL56" s="5">
        <v>0</v>
      </c>
      <c r="AM56" s="5">
        <v>0</v>
      </c>
      <c r="AN56" s="5">
        <v>0.28399999999999997</v>
      </c>
      <c r="AO56" s="6">
        <f t="shared" si="5"/>
        <v>0.34364326375711574</v>
      </c>
      <c r="AP56" s="5">
        <f t="shared" si="6"/>
        <v>242</v>
      </c>
      <c r="AQ56" s="8">
        <f t="shared" si="0"/>
        <v>0.74461538461538457</v>
      </c>
      <c r="AR56" s="6">
        <f t="shared" si="7"/>
        <v>0.38956356736242886</v>
      </c>
      <c r="AS56" s="6">
        <f t="shared" si="8"/>
        <v>0.81950558753809677</v>
      </c>
      <c r="AT56" s="6">
        <f t="shared" si="11"/>
        <v>9.4656017117936808E-2</v>
      </c>
      <c r="AU56" s="6">
        <f t="shared" si="10"/>
        <v>8.196721311475455E-2</v>
      </c>
      <c r="AV56" s="5">
        <f t="shared" si="12"/>
        <v>0</v>
      </c>
      <c r="AW56" s="5">
        <f t="shared" si="13"/>
        <v>5</v>
      </c>
      <c r="AX56" s="5">
        <f t="shared" si="14"/>
        <v>0</v>
      </c>
      <c r="AY56" s="5">
        <f t="shared" si="15"/>
        <v>0</v>
      </c>
      <c r="AZ56" s="5">
        <f t="shared" si="9"/>
        <v>0</v>
      </c>
    </row>
    <row r="57" spans="1:52" x14ac:dyDescent="0.3">
      <c r="A57" s="5" t="s">
        <v>52</v>
      </c>
      <c r="B57" s="5" t="s">
        <v>56</v>
      </c>
      <c r="C57" s="5" t="s">
        <v>54</v>
      </c>
      <c r="D57" s="5" t="s">
        <v>56</v>
      </c>
      <c r="E57" s="5" t="s">
        <v>55</v>
      </c>
      <c r="F57" s="5">
        <v>2</v>
      </c>
      <c r="G57" s="5">
        <v>0.04</v>
      </c>
      <c r="H57" s="5" t="b">
        <v>0</v>
      </c>
      <c r="I57" s="5" t="b">
        <v>0</v>
      </c>
      <c r="J57" s="5" t="b">
        <v>0</v>
      </c>
      <c r="K57" s="5">
        <v>2.9529999999999998</v>
      </c>
      <c r="L57" s="5">
        <v>5.1999999999999998E-2</v>
      </c>
      <c r="M57" s="5">
        <v>-5.8000000000000003E-2</v>
      </c>
      <c r="N57" s="5">
        <v>85488.036999999997</v>
      </c>
      <c r="O57" s="5">
        <v>0.04</v>
      </c>
      <c r="P57" s="5">
        <v>5.0000000000000001E-3</v>
      </c>
      <c r="Q57" s="6">
        <v>1E-3</v>
      </c>
      <c r="R57" s="6">
        <v>0.18</v>
      </c>
      <c r="S57" s="7">
        <v>738.16899999999998</v>
      </c>
      <c r="T57" s="5">
        <v>1838.375</v>
      </c>
      <c r="U57" s="5">
        <v>1.7310000000000001</v>
      </c>
      <c r="V57" s="5">
        <v>2.2530000000000001</v>
      </c>
      <c r="W57" s="5">
        <v>1.4630000000000001</v>
      </c>
      <c r="X57" s="5">
        <v>3.67</v>
      </c>
      <c r="Y57" s="5">
        <v>9.1199999999999992</v>
      </c>
      <c r="Z57" s="5">
        <v>1846</v>
      </c>
      <c r="AA57" s="5">
        <v>5270</v>
      </c>
      <c r="AB57" s="5">
        <v>2088</v>
      </c>
      <c r="AC57" s="5">
        <v>0.06</v>
      </c>
      <c r="AD57" s="5">
        <v>1</v>
      </c>
      <c r="AE57" s="5">
        <v>0</v>
      </c>
      <c r="AF57" s="5">
        <v>0</v>
      </c>
      <c r="AG57" s="5">
        <v>1</v>
      </c>
      <c r="AH57" s="5">
        <v>2.88</v>
      </c>
      <c r="AI57" s="5">
        <v>2.87765</v>
      </c>
      <c r="AJ57" s="5">
        <v>3.1E-4</v>
      </c>
      <c r="AK57" s="5">
        <v>1.7000000000000001E-4</v>
      </c>
      <c r="AL57" s="5">
        <v>0</v>
      </c>
      <c r="AM57" s="5">
        <v>0</v>
      </c>
      <c r="AN57" s="5">
        <v>0.28000000000000003</v>
      </c>
      <c r="AO57" s="6">
        <f t="shared" si="5"/>
        <v>0.35028462998102466</v>
      </c>
      <c r="AP57" s="5">
        <f t="shared" si="6"/>
        <v>242</v>
      </c>
      <c r="AQ57" s="8">
        <f t="shared" si="0"/>
        <v>0.74461538461538457</v>
      </c>
      <c r="AR57" s="6">
        <f t="shared" si="7"/>
        <v>0.39620493358633774</v>
      </c>
      <c r="AS57" s="6">
        <f t="shared" si="8"/>
        <v>0.81950558753809677</v>
      </c>
      <c r="AT57" s="6">
        <f t="shared" si="11"/>
        <v>6.2377127511739384E-2</v>
      </c>
      <c r="AU57" s="6">
        <f t="shared" si="10"/>
        <v>0</v>
      </c>
      <c r="AV57" s="5">
        <f t="shared" si="12"/>
        <v>0</v>
      </c>
      <c r="AW57" s="5">
        <f t="shared" si="13"/>
        <v>5</v>
      </c>
      <c r="AX57" s="5">
        <f t="shared" si="14"/>
        <v>0</v>
      </c>
      <c r="AY57" s="5">
        <f t="shared" si="15"/>
        <v>0</v>
      </c>
      <c r="AZ57" s="5">
        <f t="shared" si="9"/>
        <v>0</v>
      </c>
    </row>
    <row r="58" spans="1:52" x14ac:dyDescent="0.3">
      <c r="A58" s="5" t="s">
        <v>52</v>
      </c>
      <c r="B58" s="5" t="s">
        <v>56</v>
      </c>
      <c r="C58" s="5" t="s">
        <v>54</v>
      </c>
      <c r="D58" s="5" t="s">
        <v>58</v>
      </c>
      <c r="E58" s="5" t="s">
        <v>55</v>
      </c>
      <c r="F58" s="5">
        <v>2</v>
      </c>
      <c r="G58" s="5">
        <v>0.04</v>
      </c>
      <c r="H58" s="5" t="b">
        <v>0</v>
      </c>
      <c r="I58" s="5" t="b">
        <v>0</v>
      </c>
      <c r="J58" s="5" t="b">
        <v>0</v>
      </c>
      <c r="K58" s="5">
        <v>2.9529999999999998</v>
      </c>
      <c r="L58" s="5">
        <v>5.1999999999999998E-2</v>
      </c>
      <c r="M58" s="5">
        <v>-5.8000000000000003E-2</v>
      </c>
      <c r="N58" s="5">
        <v>0</v>
      </c>
      <c r="O58" s="5">
        <v>0</v>
      </c>
      <c r="P58" s="5">
        <v>5.0000000000000001E-3</v>
      </c>
      <c r="Q58" s="6">
        <v>1E-3</v>
      </c>
      <c r="R58" s="6">
        <v>0.18</v>
      </c>
      <c r="S58" s="7">
        <v>750.00900000000001</v>
      </c>
      <c r="T58" s="5">
        <v>1838.375</v>
      </c>
      <c r="U58" s="5">
        <v>1.629</v>
      </c>
      <c r="V58" s="5">
        <v>3.077</v>
      </c>
      <c r="W58" s="5">
        <v>1.6559999999999999</v>
      </c>
      <c r="X58" s="5">
        <v>3.9039999999999999</v>
      </c>
      <c r="Y58" s="5">
        <v>10.269</v>
      </c>
      <c r="Z58" s="5">
        <v>1879</v>
      </c>
      <c r="AA58" s="5">
        <v>5270</v>
      </c>
      <c r="AB58" s="5">
        <v>2123</v>
      </c>
      <c r="AC58" s="5">
        <v>0.06</v>
      </c>
      <c r="AD58" s="5">
        <v>1</v>
      </c>
      <c r="AE58" s="5">
        <v>0.08</v>
      </c>
      <c r="AF58" s="5">
        <v>0</v>
      </c>
      <c r="AG58" s="5">
        <v>1</v>
      </c>
      <c r="AH58" s="5">
        <v>2.88</v>
      </c>
      <c r="AI58" s="5">
        <v>2.8505600000000002</v>
      </c>
      <c r="AJ58" s="5">
        <v>-2.2899999999999999E-3</v>
      </c>
      <c r="AK58" s="5">
        <v>-4.4000000000000002E-4</v>
      </c>
      <c r="AL58" s="5">
        <v>0</v>
      </c>
      <c r="AM58" s="5">
        <v>0</v>
      </c>
      <c r="AN58" s="5">
        <v>0.28399999999999997</v>
      </c>
      <c r="AO58" s="6">
        <f t="shared" si="5"/>
        <v>0.35654648956356738</v>
      </c>
      <c r="AP58" s="5">
        <f t="shared" si="6"/>
        <v>244</v>
      </c>
      <c r="AQ58" s="8">
        <f t="shared" si="0"/>
        <v>0.75076923076923074</v>
      </c>
      <c r="AR58" s="6">
        <f t="shared" si="7"/>
        <v>0.40284629981024667</v>
      </c>
      <c r="AS58" s="6">
        <f t="shared" si="8"/>
        <v>0.8262783609888249</v>
      </c>
      <c r="AT58" s="6">
        <f t="shared" si="11"/>
        <v>0.11076798111731682</v>
      </c>
      <c r="AU58" s="6">
        <f t="shared" si="10"/>
        <v>0.16891891891891847</v>
      </c>
      <c r="AV58" s="5">
        <f t="shared" si="12"/>
        <v>0</v>
      </c>
      <c r="AW58" s="5">
        <f t="shared" si="13"/>
        <v>5</v>
      </c>
      <c r="AX58" s="5">
        <f t="shared" si="14"/>
        <v>0</v>
      </c>
      <c r="AY58" s="5">
        <f t="shared" si="15"/>
        <v>0</v>
      </c>
      <c r="AZ58" s="5">
        <f t="shared" si="9"/>
        <v>0</v>
      </c>
    </row>
    <row r="59" spans="1:52" x14ac:dyDescent="0.3">
      <c r="A59" s="5" t="s">
        <v>52</v>
      </c>
      <c r="B59" s="5" t="s">
        <v>56</v>
      </c>
      <c r="C59" s="5" t="s">
        <v>54</v>
      </c>
      <c r="D59" s="5" t="s">
        <v>56</v>
      </c>
      <c r="E59" s="5" t="s">
        <v>55</v>
      </c>
      <c r="F59" s="5">
        <v>2</v>
      </c>
      <c r="G59" s="5">
        <v>0.04</v>
      </c>
      <c r="H59" s="5" t="b">
        <v>0</v>
      </c>
      <c r="I59" s="5" t="b">
        <v>0</v>
      </c>
      <c r="J59" s="5" t="b">
        <v>0</v>
      </c>
      <c r="K59" s="5">
        <v>2.9529999999999998</v>
      </c>
      <c r="L59" s="5">
        <v>5.1999999999999998E-2</v>
      </c>
      <c r="M59" s="5">
        <v>-5.8000000000000003E-2</v>
      </c>
      <c r="N59" s="5">
        <v>14682.655000000001</v>
      </c>
      <c r="O59" s="5">
        <v>0.23100000000000001</v>
      </c>
      <c r="P59" s="5">
        <v>5.0000000000000001E-3</v>
      </c>
      <c r="Q59" s="6">
        <v>1E-3</v>
      </c>
      <c r="R59" s="6">
        <v>0.18</v>
      </c>
      <c r="S59" s="7">
        <v>762.99199999999996</v>
      </c>
      <c r="T59" s="5">
        <v>1838.375</v>
      </c>
      <c r="U59" s="5">
        <v>1.665</v>
      </c>
      <c r="V59" s="5">
        <v>2.2930000000000001</v>
      </c>
      <c r="W59" s="5">
        <v>1.5129999999999999</v>
      </c>
      <c r="X59" s="5">
        <v>3.706</v>
      </c>
      <c r="Y59" s="5">
        <v>9.18</v>
      </c>
      <c r="Z59" s="5">
        <v>1917</v>
      </c>
      <c r="AA59" s="5">
        <v>5270</v>
      </c>
      <c r="AB59" s="5">
        <v>2162</v>
      </c>
      <c r="AC59" s="5">
        <v>0.06</v>
      </c>
      <c r="AD59" s="5">
        <v>1</v>
      </c>
      <c r="AE59" s="5">
        <v>0</v>
      </c>
      <c r="AF59" s="5">
        <v>0</v>
      </c>
      <c r="AG59" s="5">
        <v>1</v>
      </c>
      <c r="AH59" s="5">
        <v>2.86</v>
      </c>
      <c r="AI59" s="5">
        <v>2.8793600000000001</v>
      </c>
      <c r="AJ59" s="5">
        <v>2.2200000000000002E-3</v>
      </c>
      <c r="AK59" s="5">
        <v>2.4000000000000001E-4</v>
      </c>
      <c r="AL59" s="5">
        <v>0</v>
      </c>
      <c r="AM59" s="5">
        <v>0</v>
      </c>
      <c r="AN59" s="5">
        <v>0.28399999999999997</v>
      </c>
      <c r="AO59" s="6">
        <f t="shared" si="5"/>
        <v>0.36375711574952563</v>
      </c>
      <c r="AP59" s="5">
        <f t="shared" si="6"/>
        <v>245</v>
      </c>
      <c r="AQ59" s="8">
        <f t="shared" si="0"/>
        <v>0.75384615384615383</v>
      </c>
      <c r="AR59" s="6">
        <f t="shared" si="7"/>
        <v>0.41024667931688802</v>
      </c>
      <c r="AS59" s="6">
        <f t="shared" si="8"/>
        <v>0.82966474771418897</v>
      </c>
      <c r="AT59" s="6">
        <f t="shared" si="11"/>
        <v>8.2055094129354966E-2</v>
      </c>
      <c r="AU59" s="6">
        <f t="shared" si="10"/>
        <v>7.7023800354309793E-2</v>
      </c>
      <c r="AV59" s="5">
        <f t="shared" si="12"/>
        <v>0</v>
      </c>
      <c r="AW59" s="5">
        <f t="shared" si="13"/>
        <v>5</v>
      </c>
      <c r="AX59" s="5">
        <f t="shared" si="14"/>
        <v>0</v>
      </c>
      <c r="AY59" s="5">
        <f t="shared" si="15"/>
        <v>0</v>
      </c>
      <c r="AZ59" s="5">
        <f t="shared" si="9"/>
        <v>0</v>
      </c>
    </row>
    <row r="60" spans="1:52" x14ac:dyDescent="0.3">
      <c r="A60" s="5" t="s">
        <v>52</v>
      </c>
      <c r="B60" s="5" t="s">
        <v>56</v>
      </c>
      <c r="C60" s="5" t="s">
        <v>54</v>
      </c>
      <c r="D60" s="5" t="s">
        <v>56</v>
      </c>
      <c r="E60" s="5" t="s">
        <v>55</v>
      </c>
      <c r="F60" s="5">
        <v>2</v>
      </c>
      <c r="G60" s="5">
        <v>0.04</v>
      </c>
      <c r="H60" s="5" t="b">
        <v>0</v>
      </c>
      <c r="I60" s="5" t="b">
        <v>0</v>
      </c>
      <c r="J60" s="5" t="b">
        <v>0</v>
      </c>
      <c r="K60" s="5">
        <v>2.9529999999999998</v>
      </c>
      <c r="L60" s="5">
        <v>5.1999999999999998E-2</v>
      </c>
      <c r="M60" s="5">
        <v>-5.8000000000000003E-2</v>
      </c>
      <c r="N60" s="5">
        <v>31986.614000000001</v>
      </c>
      <c r="O60" s="5">
        <v>0.105</v>
      </c>
      <c r="P60" s="5">
        <v>5.0000000000000001E-3</v>
      </c>
      <c r="Q60" s="6">
        <v>1E-3</v>
      </c>
      <c r="R60" s="6">
        <v>0.18</v>
      </c>
      <c r="S60" s="7">
        <v>774.82500000000005</v>
      </c>
      <c r="T60" s="5">
        <v>1838.375</v>
      </c>
      <c r="U60" s="5">
        <v>1.863</v>
      </c>
      <c r="V60" s="5">
        <v>2.2770000000000001</v>
      </c>
      <c r="W60" s="5">
        <v>1.589</v>
      </c>
      <c r="X60" s="5">
        <v>3.6190000000000002</v>
      </c>
      <c r="Y60" s="5">
        <v>9.3520000000000003</v>
      </c>
      <c r="Z60" s="5">
        <v>1951</v>
      </c>
      <c r="AA60" s="5">
        <v>5270</v>
      </c>
      <c r="AB60" s="5">
        <v>2197</v>
      </c>
      <c r="AC60" s="5">
        <v>0.06</v>
      </c>
      <c r="AD60" s="5">
        <v>1</v>
      </c>
      <c r="AE60" s="5">
        <v>0</v>
      </c>
      <c r="AF60" s="5">
        <v>0</v>
      </c>
      <c r="AG60" s="5">
        <v>1</v>
      </c>
      <c r="AH60" s="5">
        <v>2.86</v>
      </c>
      <c r="AI60" s="5">
        <v>2.8774600000000001</v>
      </c>
      <c r="AJ60" s="5">
        <v>-1.6000000000000001E-4</v>
      </c>
      <c r="AK60" s="5">
        <v>1.2999999999999999E-4</v>
      </c>
      <c r="AL60" s="5">
        <v>0</v>
      </c>
      <c r="AM60" s="5">
        <v>0</v>
      </c>
      <c r="AN60" s="5">
        <v>0.28000000000000003</v>
      </c>
      <c r="AO60" s="6">
        <f t="shared" si="5"/>
        <v>0.37020872865275145</v>
      </c>
      <c r="AP60" s="5">
        <f t="shared" si="6"/>
        <v>246</v>
      </c>
      <c r="AQ60" s="8">
        <f t="shared" si="0"/>
        <v>0.75692307692307692</v>
      </c>
      <c r="AR60" s="6">
        <f t="shared" si="7"/>
        <v>0.41688804554079695</v>
      </c>
      <c r="AS60" s="6">
        <f t="shared" si="8"/>
        <v>0.83305113443955292</v>
      </c>
      <c r="AT60" s="6">
        <f t="shared" si="11"/>
        <v>8.2483871037724893E-2</v>
      </c>
      <c r="AU60" s="6">
        <f t="shared" si="10"/>
        <v>8.4509422800641679E-2</v>
      </c>
      <c r="AV60" s="5">
        <f t="shared" si="12"/>
        <v>0</v>
      </c>
      <c r="AW60" s="5">
        <f t="shared" si="13"/>
        <v>5</v>
      </c>
      <c r="AX60" s="5">
        <f t="shared" si="14"/>
        <v>0</v>
      </c>
      <c r="AY60" s="5">
        <f t="shared" si="15"/>
        <v>0</v>
      </c>
      <c r="AZ60" s="5">
        <f t="shared" si="9"/>
        <v>0</v>
      </c>
    </row>
    <row r="61" spans="1:52" x14ac:dyDescent="0.3">
      <c r="A61" s="5" t="s">
        <v>52</v>
      </c>
      <c r="B61" s="5" t="s">
        <v>56</v>
      </c>
      <c r="C61" s="5" t="s">
        <v>54</v>
      </c>
      <c r="D61" s="5" t="s">
        <v>56</v>
      </c>
      <c r="E61" s="5" t="s">
        <v>55</v>
      </c>
      <c r="F61" s="5">
        <v>2</v>
      </c>
      <c r="G61" s="5">
        <v>0.04</v>
      </c>
      <c r="H61" s="5" t="b">
        <v>0</v>
      </c>
      <c r="I61" s="5" t="b">
        <v>0</v>
      </c>
      <c r="J61" s="5" t="b">
        <v>0</v>
      </c>
      <c r="K61" s="5">
        <v>2.9529999999999998</v>
      </c>
      <c r="L61" s="5">
        <v>5.1999999999999998E-2</v>
      </c>
      <c r="M61" s="5">
        <v>-5.8000000000000003E-2</v>
      </c>
      <c r="N61" s="5">
        <v>-39285.337</v>
      </c>
      <c r="O61" s="5">
        <v>-8.4000000000000005E-2</v>
      </c>
      <c r="P61" s="5">
        <v>5.0000000000000001E-3</v>
      </c>
      <c r="Q61" s="6">
        <v>1E-3</v>
      </c>
      <c r="R61" s="6">
        <v>0.18</v>
      </c>
      <c r="S61" s="7">
        <v>787.74300000000005</v>
      </c>
      <c r="T61" s="5">
        <v>1838.375</v>
      </c>
      <c r="U61" s="5">
        <v>1.8420000000000001</v>
      </c>
      <c r="V61" s="5">
        <v>2.48</v>
      </c>
      <c r="W61" s="5">
        <v>1.6839999999999999</v>
      </c>
      <c r="X61" s="5">
        <v>4.0670000000000002</v>
      </c>
      <c r="Y61" s="5">
        <v>10.077</v>
      </c>
      <c r="Z61" s="5">
        <v>1988</v>
      </c>
      <c r="AA61" s="5">
        <v>5270</v>
      </c>
      <c r="AB61" s="5">
        <v>2232</v>
      </c>
      <c r="AC61" s="5">
        <v>0.06</v>
      </c>
      <c r="AD61" s="5">
        <v>1</v>
      </c>
      <c r="AE61" s="5">
        <v>0</v>
      </c>
      <c r="AF61" s="5">
        <v>0</v>
      </c>
      <c r="AG61" s="5">
        <v>1</v>
      </c>
      <c r="AH61" s="5">
        <v>2.84</v>
      </c>
      <c r="AI61" s="5">
        <v>2.87643</v>
      </c>
      <c r="AJ61" s="5">
        <v>-8.0000000000000007E-5</v>
      </c>
      <c r="AK61" s="5">
        <v>4.0000000000000003E-5</v>
      </c>
      <c r="AL61" s="5">
        <v>0</v>
      </c>
      <c r="AM61" s="5">
        <v>0</v>
      </c>
      <c r="AN61" s="5">
        <v>0.28000000000000003</v>
      </c>
      <c r="AO61" s="6">
        <f t="shared" si="5"/>
        <v>0.37722960151802659</v>
      </c>
      <c r="AP61" s="5">
        <f t="shared" si="6"/>
        <v>244</v>
      </c>
      <c r="AQ61" s="8">
        <f t="shared" si="0"/>
        <v>0.75076923076923074</v>
      </c>
      <c r="AR61" s="6">
        <f t="shared" si="7"/>
        <v>0.42352941176470588</v>
      </c>
      <c r="AS61" s="6">
        <f t="shared" si="8"/>
        <v>0.8262783609888249</v>
      </c>
      <c r="AT61" s="6">
        <f t="shared" si="11"/>
        <v>3.5125882819480606E-2</v>
      </c>
      <c r="AU61" s="6">
        <f t="shared" si="10"/>
        <v>-0.15482272797646687</v>
      </c>
      <c r="AV61" s="5">
        <f t="shared" si="12"/>
        <v>0</v>
      </c>
      <c r="AW61" s="5">
        <f t="shared" si="13"/>
        <v>5</v>
      </c>
      <c r="AX61" s="5">
        <f t="shared" si="14"/>
        <v>0</v>
      </c>
      <c r="AY61" s="5">
        <f t="shared" si="15"/>
        <v>0</v>
      </c>
      <c r="AZ61" s="5">
        <f t="shared" si="9"/>
        <v>0</v>
      </c>
    </row>
    <row r="62" spans="1:52" x14ac:dyDescent="0.3">
      <c r="A62" s="5" t="s">
        <v>52</v>
      </c>
      <c r="B62" s="5" t="s">
        <v>56</v>
      </c>
      <c r="C62" s="5" t="s">
        <v>54</v>
      </c>
      <c r="D62" s="5" t="s">
        <v>56</v>
      </c>
      <c r="E62" s="5" t="s">
        <v>55</v>
      </c>
      <c r="F62" s="5">
        <v>2</v>
      </c>
      <c r="G62" s="5">
        <v>0.04</v>
      </c>
      <c r="H62" s="5" t="b">
        <v>0</v>
      </c>
      <c r="I62" s="5" t="b">
        <v>0</v>
      </c>
      <c r="J62" s="5" t="b">
        <v>0</v>
      </c>
      <c r="K62" s="5">
        <v>2.9529999999999998</v>
      </c>
      <c r="L62" s="5">
        <v>5.1999999999999998E-2</v>
      </c>
      <c r="M62" s="5">
        <v>-5.8000000000000003E-2</v>
      </c>
      <c r="N62" s="5">
        <v>17444.612000000001</v>
      </c>
      <c r="O62" s="5">
        <v>0.188</v>
      </c>
      <c r="P62" s="5">
        <v>5.0000000000000001E-3</v>
      </c>
      <c r="Q62" s="6">
        <v>1E-3</v>
      </c>
      <c r="R62" s="6">
        <v>0.18</v>
      </c>
      <c r="S62" s="7">
        <v>801.08199999999999</v>
      </c>
      <c r="T62" s="5">
        <v>1838.375</v>
      </c>
      <c r="U62" s="5">
        <v>1.9730000000000001</v>
      </c>
      <c r="V62" s="5">
        <v>2.5499999999999998</v>
      </c>
      <c r="W62" s="5">
        <v>1.649</v>
      </c>
      <c r="X62" s="5">
        <v>4.109</v>
      </c>
      <c r="Y62" s="5">
        <v>10.285</v>
      </c>
      <c r="Z62" s="5">
        <v>2026</v>
      </c>
      <c r="AA62" s="5">
        <v>5270</v>
      </c>
      <c r="AB62" s="5">
        <v>2273</v>
      </c>
      <c r="AC62" s="5">
        <v>0.06</v>
      </c>
      <c r="AD62" s="5">
        <v>1</v>
      </c>
      <c r="AE62" s="5">
        <v>0</v>
      </c>
      <c r="AF62" s="5">
        <v>0</v>
      </c>
      <c r="AG62" s="5">
        <v>1</v>
      </c>
      <c r="AH62" s="5">
        <v>2.86</v>
      </c>
      <c r="AI62" s="5">
        <v>2.8611</v>
      </c>
      <c r="AJ62" s="5">
        <v>-1.15E-3</v>
      </c>
      <c r="AK62" s="5">
        <v>-2.5999999999999998E-4</v>
      </c>
      <c r="AL62" s="5">
        <v>0</v>
      </c>
      <c r="AM62" s="5">
        <v>0</v>
      </c>
      <c r="AN62" s="5">
        <v>0.28399999999999997</v>
      </c>
      <c r="AO62" s="6">
        <f t="shared" si="5"/>
        <v>0.38444022770398484</v>
      </c>
      <c r="AP62" s="5">
        <f t="shared" si="6"/>
        <v>247</v>
      </c>
      <c r="AQ62" s="8">
        <f t="shared" si="0"/>
        <v>0.76</v>
      </c>
      <c r="AR62" s="6">
        <f t="shared" si="7"/>
        <v>0.4313092979127135</v>
      </c>
      <c r="AS62" s="6">
        <f t="shared" si="8"/>
        <v>0.83643752116491699</v>
      </c>
      <c r="AT62" s="6">
        <f t="shared" si="11"/>
        <v>8.0106765944152822E-2</v>
      </c>
      <c r="AU62" s="6">
        <f t="shared" si="10"/>
        <v>0.22490441562336105</v>
      </c>
      <c r="AV62" s="5">
        <f t="shared" si="12"/>
        <v>0</v>
      </c>
      <c r="AW62" s="5">
        <f t="shared" si="13"/>
        <v>5</v>
      </c>
      <c r="AX62" s="5">
        <f t="shared" si="14"/>
        <v>0</v>
      </c>
      <c r="AY62" s="5">
        <f t="shared" si="15"/>
        <v>0</v>
      </c>
      <c r="AZ62" s="5">
        <f t="shared" si="9"/>
        <v>0</v>
      </c>
    </row>
    <row r="63" spans="1:52" x14ac:dyDescent="0.3">
      <c r="A63" s="5" t="s">
        <v>52</v>
      </c>
      <c r="B63" s="5" t="s">
        <v>56</v>
      </c>
      <c r="C63" s="5" t="s">
        <v>54</v>
      </c>
      <c r="D63" s="5" t="s">
        <v>56</v>
      </c>
      <c r="E63" s="5" t="s">
        <v>55</v>
      </c>
      <c r="F63" s="5">
        <v>2</v>
      </c>
      <c r="G63" s="5">
        <v>0.04</v>
      </c>
      <c r="H63" s="5" t="b">
        <v>0</v>
      </c>
      <c r="I63" s="5" t="b">
        <v>0</v>
      </c>
      <c r="J63" s="5" t="b">
        <v>0</v>
      </c>
      <c r="K63" s="5">
        <v>2.9529999999999998</v>
      </c>
      <c r="L63" s="5">
        <v>5.1999999999999998E-2</v>
      </c>
      <c r="M63" s="5">
        <v>-5.8000000000000003E-2</v>
      </c>
      <c r="N63" s="5">
        <v>14723.939</v>
      </c>
      <c r="O63" s="5">
        <v>0.22</v>
      </c>
      <c r="P63" s="5">
        <v>5.0000000000000001E-3</v>
      </c>
      <c r="Q63" s="6">
        <v>1E-3</v>
      </c>
      <c r="R63" s="6">
        <v>0.18</v>
      </c>
      <c r="S63" s="7">
        <v>816.50800000000004</v>
      </c>
      <c r="T63" s="5">
        <v>1838.375</v>
      </c>
      <c r="U63" s="5">
        <v>3.6560000000000001</v>
      </c>
      <c r="V63" s="5">
        <v>2.3109999999999999</v>
      </c>
      <c r="W63" s="5">
        <v>1.5669999999999999</v>
      </c>
      <c r="X63" s="5">
        <v>4.0750000000000002</v>
      </c>
      <c r="Y63" s="5">
        <v>11.612</v>
      </c>
      <c r="Z63" s="5">
        <v>2077</v>
      </c>
      <c r="AA63" s="5">
        <v>5270</v>
      </c>
      <c r="AB63" s="5">
        <v>2313</v>
      </c>
      <c r="AC63" s="5">
        <v>0.06</v>
      </c>
      <c r="AD63" s="5">
        <v>1</v>
      </c>
      <c r="AE63" s="5">
        <v>0</v>
      </c>
      <c r="AF63" s="5">
        <v>0</v>
      </c>
      <c r="AG63" s="5">
        <v>1</v>
      </c>
      <c r="AH63" s="5">
        <v>2.88</v>
      </c>
      <c r="AI63" s="5">
        <v>2.9774699999999998</v>
      </c>
      <c r="AJ63" s="5">
        <v>7.5399999999999998E-3</v>
      </c>
      <c r="AK63" s="5">
        <v>1.91E-3</v>
      </c>
      <c r="AL63" s="5">
        <v>0</v>
      </c>
      <c r="AM63" s="5">
        <v>0</v>
      </c>
      <c r="AN63" s="5">
        <v>0.28000000000000003</v>
      </c>
      <c r="AO63" s="6">
        <f t="shared" si="5"/>
        <v>0.39411764705882352</v>
      </c>
      <c r="AP63" s="5">
        <f t="shared" si="6"/>
        <v>236</v>
      </c>
      <c r="AQ63" s="8">
        <f t="shared" si="0"/>
        <v>0.72615384615384615</v>
      </c>
      <c r="AR63" s="6">
        <f t="shared" si="7"/>
        <v>0.43889943074003795</v>
      </c>
      <c r="AS63" s="6">
        <f t="shared" si="8"/>
        <v>0.7991872671859126</v>
      </c>
      <c r="AT63" s="6">
        <f t="shared" si="11"/>
        <v>-9.6293379825887426E-2</v>
      </c>
      <c r="AU63" s="6">
        <f t="shared" si="10"/>
        <v>-0.71308180993128278</v>
      </c>
      <c r="AV63" s="5">
        <f t="shared" si="12"/>
        <v>0</v>
      </c>
      <c r="AW63" s="5">
        <f t="shared" si="13"/>
        <v>5</v>
      </c>
      <c r="AX63" s="5">
        <f t="shared" si="14"/>
        <v>0</v>
      </c>
      <c r="AY63" s="5">
        <f t="shared" si="15"/>
        <v>0</v>
      </c>
      <c r="AZ63" s="5">
        <f t="shared" si="9"/>
        <v>0</v>
      </c>
    </row>
    <row r="64" spans="1:52" x14ac:dyDescent="0.3">
      <c r="A64" s="5" t="s">
        <v>52</v>
      </c>
      <c r="B64" s="5" t="s">
        <v>56</v>
      </c>
      <c r="C64" s="5" t="s">
        <v>54</v>
      </c>
      <c r="D64" s="5" t="s">
        <v>56</v>
      </c>
      <c r="E64" s="5" t="s">
        <v>55</v>
      </c>
      <c r="F64" s="5">
        <v>2</v>
      </c>
      <c r="G64" s="5">
        <v>0.04</v>
      </c>
      <c r="H64" s="5" t="b">
        <v>0</v>
      </c>
      <c r="I64" s="5" t="b">
        <v>0</v>
      </c>
      <c r="J64" s="5" t="b">
        <v>0</v>
      </c>
      <c r="K64" s="5">
        <v>2.9529999999999998</v>
      </c>
      <c r="L64" s="5">
        <v>5.1999999999999998E-2</v>
      </c>
      <c r="M64" s="5">
        <v>-5.8000000000000003E-2</v>
      </c>
      <c r="N64" s="5">
        <v>225616.095</v>
      </c>
      <c r="O64" s="5">
        <v>1.4E-2</v>
      </c>
      <c r="P64" s="5">
        <v>5.0000000000000001E-3</v>
      </c>
      <c r="Q64" s="6">
        <v>1E-3</v>
      </c>
      <c r="R64" s="6">
        <v>0.18</v>
      </c>
      <c r="S64" s="7">
        <v>831.96900000000005</v>
      </c>
      <c r="T64" s="5">
        <v>1838.375</v>
      </c>
      <c r="U64" s="5">
        <v>1.6919999999999999</v>
      </c>
      <c r="V64" s="5">
        <v>2.2519999999999998</v>
      </c>
      <c r="W64" s="5">
        <v>1.5069999999999999</v>
      </c>
      <c r="X64" s="5">
        <v>3.677</v>
      </c>
      <c r="Y64" s="5">
        <v>9.1319999999999997</v>
      </c>
      <c r="Z64" s="5">
        <v>2115</v>
      </c>
      <c r="AA64" s="5">
        <v>5270</v>
      </c>
      <c r="AB64" s="5">
        <v>2362</v>
      </c>
      <c r="AC64" s="5">
        <v>0.06</v>
      </c>
      <c r="AD64" s="5">
        <v>1</v>
      </c>
      <c r="AE64" s="5">
        <v>0</v>
      </c>
      <c r="AF64" s="5">
        <v>0</v>
      </c>
      <c r="AG64" s="5">
        <v>1</v>
      </c>
      <c r="AH64" s="5">
        <v>2.86</v>
      </c>
      <c r="AI64" s="5">
        <v>2.87052</v>
      </c>
      <c r="AJ64" s="5">
        <v>-6.9199999999999999E-3</v>
      </c>
      <c r="AK64" s="5">
        <v>-1.2999999999999999E-4</v>
      </c>
      <c r="AL64" s="5">
        <v>0</v>
      </c>
      <c r="AM64" s="5">
        <v>0</v>
      </c>
      <c r="AN64" s="5">
        <v>0.28399999999999997</v>
      </c>
      <c r="AO64" s="6">
        <f t="shared" si="5"/>
        <v>0.40132827324478176</v>
      </c>
      <c r="AP64" s="5">
        <f t="shared" si="6"/>
        <v>247</v>
      </c>
      <c r="AQ64" s="8">
        <f t="shared" si="0"/>
        <v>0.76</v>
      </c>
      <c r="AR64" s="6">
        <f t="shared" si="7"/>
        <v>0.44819734345351042</v>
      </c>
      <c r="AS64" s="6">
        <f t="shared" si="8"/>
        <v>0.83643752116491699</v>
      </c>
      <c r="AT64" s="6">
        <f t="shared" si="11"/>
        <v>3.0595372812648347E-2</v>
      </c>
      <c r="AU64" s="6">
        <f t="shared" si="10"/>
        <v>0.71146756354698859</v>
      </c>
      <c r="AV64" s="5">
        <f t="shared" si="12"/>
        <v>0</v>
      </c>
      <c r="AW64" s="5">
        <f t="shared" si="13"/>
        <v>5</v>
      </c>
      <c r="AX64" s="5">
        <f t="shared" si="14"/>
        <v>0</v>
      </c>
      <c r="AY64" s="5">
        <f t="shared" si="15"/>
        <v>0</v>
      </c>
      <c r="AZ64" s="5">
        <f t="shared" si="9"/>
        <v>0</v>
      </c>
    </row>
    <row r="65" spans="1:52" x14ac:dyDescent="0.3">
      <c r="A65" s="5" t="s">
        <v>52</v>
      </c>
      <c r="B65" s="5" t="s">
        <v>56</v>
      </c>
      <c r="C65" s="5" t="s">
        <v>54</v>
      </c>
      <c r="D65" s="5" t="s">
        <v>56</v>
      </c>
      <c r="E65" s="5" t="s">
        <v>55</v>
      </c>
      <c r="F65" s="5">
        <v>2</v>
      </c>
      <c r="G65" s="5">
        <v>0.04</v>
      </c>
      <c r="H65" s="5" t="b">
        <v>0</v>
      </c>
      <c r="I65" s="5" t="b">
        <v>0</v>
      </c>
      <c r="J65" s="5" t="b">
        <v>0</v>
      </c>
      <c r="K65" s="5">
        <v>2.9529999999999998</v>
      </c>
      <c r="L65" s="5">
        <v>5.1999999999999998E-2</v>
      </c>
      <c r="M65" s="5">
        <v>-5.8000000000000003E-2</v>
      </c>
      <c r="N65" s="5">
        <v>-52870.574999999997</v>
      </c>
      <c r="O65" s="5">
        <v>-0.06</v>
      </c>
      <c r="P65" s="5">
        <v>5.0000000000000001E-3</v>
      </c>
      <c r="Q65" s="6">
        <v>1E-3</v>
      </c>
      <c r="R65" s="6">
        <v>0.18</v>
      </c>
      <c r="S65" s="7">
        <v>843.43700000000001</v>
      </c>
      <c r="T65" s="5">
        <v>1838.375</v>
      </c>
      <c r="U65" s="5">
        <v>1.6619999999999999</v>
      </c>
      <c r="V65" s="5">
        <v>2.234</v>
      </c>
      <c r="W65" s="5">
        <v>1.3540000000000001</v>
      </c>
      <c r="X65" s="5">
        <v>3.3759999999999999</v>
      </c>
      <c r="Y65" s="5">
        <v>8.6280000000000001</v>
      </c>
      <c r="Z65" s="5">
        <v>2148</v>
      </c>
      <c r="AA65" s="5">
        <v>5270</v>
      </c>
      <c r="AB65" s="5">
        <v>2400</v>
      </c>
      <c r="AC65" s="5">
        <v>0.06</v>
      </c>
      <c r="AD65" s="5">
        <v>1</v>
      </c>
      <c r="AE65" s="5">
        <v>0</v>
      </c>
      <c r="AF65" s="5">
        <v>0</v>
      </c>
      <c r="AG65" s="5">
        <v>1</v>
      </c>
      <c r="AH65" s="5">
        <v>2.9</v>
      </c>
      <c r="AI65" s="5">
        <v>2.8712300000000002</v>
      </c>
      <c r="AJ65" s="5">
        <v>6.0000000000000002E-5</v>
      </c>
      <c r="AK65" s="5">
        <v>-9.0000000000000006E-5</v>
      </c>
      <c r="AL65" s="5">
        <v>0</v>
      </c>
      <c r="AM65" s="5">
        <v>0</v>
      </c>
      <c r="AN65" s="5">
        <v>0.28000000000000003</v>
      </c>
      <c r="AO65" s="6">
        <f t="shared" si="5"/>
        <v>0.40759013282732448</v>
      </c>
      <c r="AP65" s="5">
        <f t="shared" si="6"/>
        <v>252</v>
      </c>
      <c r="AQ65" s="8">
        <f t="shared" si="0"/>
        <v>0.77538461538461534</v>
      </c>
      <c r="AR65" s="6">
        <f t="shared" si="7"/>
        <v>0.45540796963946867</v>
      </c>
      <c r="AS65" s="6">
        <f t="shared" si="8"/>
        <v>0.8533694547917372</v>
      </c>
      <c r="AT65" s="6">
        <f t="shared" si="11"/>
        <v>0.10089265114055657</v>
      </c>
      <c r="AU65" s="6">
        <f t="shared" si="10"/>
        <v>0.43599581444018287</v>
      </c>
      <c r="AV65" s="5">
        <f t="shared" si="12"/>
        <v>0</v>
      </c>
      <c r="AW65" s="5">
        <f t="shared" si="13"/>
        <v>5</v>
      </c>
      <c r="AX65" s="5">
        <f t="shared" si="14"/>
        <v>0</v>
      </c>
      <c r="AY65" s="5">
        <f t="shared" si="15"/>
        <v>0</v>
      </c>
      <c r="AZ65" s="5">
        <f t="shared" si="9"/>
        <v>0</v>
      </c>
    </row>
    <row r="66" spans="1:52" x14ac:dyDescent="0.3">
      <c r="A66" s="5" t="s">
        <v>52</v>
      </c>
      <c r="B66" s="5" t="s">
        <v>56</v>
      </c>
      <c r="C66" s="5" t="s">
        <v>54</v>
      </c>
      <c r="D66" s="5" t="s">
        <v>58</v>
      </c>
      <c r="E66" s="5" t="s">
        <v>55</v>
      </c>
      <c r="F66" s="5">
        <v>2</v>
      </c>
      <c r="G66" s="5">
        <v>0.04</v>
      </c>
      <c r="H66" s="5" t="b">
        <v>0</v>
      </c>
      <c r="I66" s="5" t="b">
        <v>0</v>
      </c>
      <c r="J66" s="5" t="b">
        <v>0</v>
      </c>
      <c r="K66" s="5">
        <v>2.9529999999999998</v>
      </c>
      <c r="L66" s="5">
        <v>5.1999999999999998E-2</v>
      </c>
      <c r="M66" s="5">
        <v>-5.8000000000000003E-2</v>
      </c>
      <c r="N66" s="5">
        <v>0</v>
      </c>
      <c r="O66" s="5">
        <v>0</v>
      </c>
      <c r="P66" s="5">
        <v>5.0000000000000001E-3</v>
      </c>
      <c r="Q66" s="6">
        <v>1E-3</v>
      </c>
      <c r="R66" s="6">
        <v>0.18</v>
      </c>
      <c r="S66" s="7">
        <v>854.29</v>
      </c>
      <c r="T66" s="5">
        <v>1838.375</v>
      </c>
      <c r="U66" s="5">
        <v>1.492</v>
      </c>
      <c r="V66" s="5">
        <v>2.226</v>
      </c>
      <c r="W66" s="5">
        <v>1.4510000000000001</v>
      </c>
      <c r="X66" s="5">
        <v>3.488</v>
      </c>
      <c r="Y66" s="5">
        <v>8.66</v>
      </c>
      <c r="Z66" s="5">
        <v>2179</v>
      </c>
      <c r="AA66" s="5">
        <v>5270</v>
      </c>
      <c r="AB66" s="5">
        <v>2433</v>
      </c>
      <c r="AC66" s="5">
        <v>0.06</v>
      </c>
      <c r="AD66" s="5">
        <v>1</v>
      </c>
      <c r="AE66" s="5">
        <v>0.08</v>
      </c>
      <c r="AF66" s="5">
        <v>0</v>
      </c>
      <c r="AG66" s="5">
        <v>1</v>
      </c>
      <c r="AH66" s="5">
        <v>2.88</v>
      </c>
      <c r="AI66" s="5">
        <v>2.8701400000000001</v>
      </c>
      <c r="AJ66" s="5">
        <v>-1E-4</v>
      </c>
      <c r="AK66" s="5">
        <v>-9.0000000000000006E-5</v>
      </c>
      <c r="AL66" s="5">
        <v>0</v>
      </c>
      <c r="AM66" s="5">
        <v>0</v>
      </c>
      <c r="AN66" s="5">
        <v>0.27700000000000002</v>
      </c>
      <c r="AO66" s="6">
        <f t="shared" si="5"/>
        <v>0.41347248576850093</v>
      </c>
      <c r="AP66" s="5">
        <f t="shared" si="6"/>
        <v>254</v>
      </c>
      <c r="AQ66" s="8">
        <f t="shared" ref="AQ66:AQ129" si="16">AP66/MAX(AP:AP)</f>
        <v>0.78153846153846152</v>
      </c>
      <c r="AR66" s="6">
        <f t="shared" si="7"/>
        <v>0.46166982922201139</v>
      </c>
      <c r="AS66" s="6">
        <f t="shared" si="8"/>
        <v>0.86014222824246522</v>
      </c>
      <c r="AT66" s="6">
        <f t="shared" si="11"/>
        <v>0.16871336553710323</v>
      </c>
      <c r="AU66" s="6">
        <f t="shared" si="10"/>
        <v>0.18428084400626638</v>
      </c>
      <c r="AV66" s="5">
        <f t="shared" ref="AV66:AV97" si="17">IF(B66="ACCELERATION",5,0)</f>
        <v>0</v>
      </c>
      <c r="AW66" s="5">
        <f t="shared" ref="AW66:AW97" si="18">IF(B66="CRUISING",5,0)</f>
        <v>5</v>
      </c>
      <c r="AX66" s="5">
        <f t="shared" ref="AX66:AX97" si="19">IF(B66="DECELERATION",5,0)</f>
        <v>0</v>
      </c>
      <c r="AY66" s="5">
        <f t="shared" ref="AY66:AY97" si="20">IF(B66="END",5,0)</f>
        <v>0</v>
      </c>
      <c r="AZ66" s="5">
        <f t="shared" si="9"/>
        <v>0</v>
      </c>
    </row>
    <row r="67" spans="1:52" x14ac:dyDescent="0.3">
      <c r="A67" s="5" t="s">
        <v>52</v>
      </c>
      <c r="B67" s="5" t="s">
        <v>56</v>
      </c>
      <c r="C67" s="5" t="s">
        <v>54</v>
      </c>
      <c r="D67" s="5" t="s">
        <v>56</v>
      </c>
      <c r="E67" s="5" t="s">
        <v>55</v>
      </c>
      <c r="F67" s="5">
        <v>2</v>
      </c>
      <c r="G67" s="5">
        <v>0.04</v>
      </c>
      <c r="H67" s="5" t="b">
        <v>0</v>
      </c>
      <c r="I67" s="5" t="b">
        <v>0</v>
      </c>
      <c r="J67" s="5" t="b">
        <v>0</v>
      </c>
      <c r="K67" s="5">
        <v>2.9529999999999998</v>
      </c>
      <c r="L67" s="5">
        <v>5.1999999999999998E-2</v>
      </c>
      <c r="M67" s="5">
        <v>-5.8000000000000003E-2</v>
      </c>
      <c r="N67" s="5">
        <v>67301.895000000004</v>
      </c>
      <c r="O67" s="5">
        <v>4.5999999999999999E-2</v>
      </c>
      <c r="P67" s="5">
        <v>5.0000000000000001E-3</v>
      </c>
      <c r="Q67" s="6">
        <v>1E-3</v>
      </c>
      <c r="R67" s="6">
        <v>0.18</v>
      </c>
      <c r="S67" s="7">
        <v>865.255</v>
      </c>
      <c r="T67" s="5">
        <v>1838.375</v>
      </c>
      <c r="U67" s="5">
        <v>1.5469999999999999</v>
      </c>
      <c r="V67" s="5">
        <v>2.206</v>
      </c>
      <c r="W67" s="5">
        <v>1.395</v>
      </c>
      <c r="X67" s="5">
        <v>3.67</v>
      </c>
      <c r="Y67" s="5">
        <v>8.8209999999999997</v>
      </c>
      <c r="Z67" s="5">
        <v>2210</v>
      </c>
      <c r="AA67" s="5">
        <v>5270</v>
      </c>
      <c r="AB67" s="5">
        <v>2465</v>
      </c>
      <c r="AC67" s="5">
        <v>0.06</v>
      </c>
      <c r="AD67" s="5">
        <v>1</v>
      </c>
      <c r="AE67" s="5">
        <v>0</v>
      </c>
      <c r="AF67" s="5">
        <v>0</v>
      </c>
      <c r="AG67" s="5">
        <v>1</v>
      </c>
      <c r="AH67" s="5">
        <v>2.88</v>
      </c>
      <c r="AI67" s="5">
        <v>2.8672200000000001</v>
      </c>
      <c r="AJ67" s="5">
        <v>-2.7E-4</v>
      </c>
      <c r="AK67" s="5">
        <v>1E-4</v>
      </c>
      <c r="AL67" s="5">
        <v>0</v>
      </c>
      <c r="AM67" s="5">
        <v>0</v>
      </c>
      <c r="AN67" s="5">
        <v>0.27300000000000002</v>
      </c>
      <c r="AO67" s="6">
        <f t="shared" ref="AO67:AO130" si="21">Z67/AA67</f>
        <v>0.41935483870967744</v>
      </c>
      <c r="AP67" s="5">
        <f t="shared" ref="AP67:AP130" si="22">AB67-Z67</f>
        <v>255</v>
      </c>
      <c r="AQ67" s="8">
        <f t="shared" si="16"/>
        <v>0.7846153846153846</v>
      </c>
      <c r="AR67" s="6">
        <f t="shared" ref="AR67:AR130" si="23">AB67/AA67</f>
        <v>0.46774193548387094</v>
      </c>
      <c r="AS67" s="6">
        <f t="shared" ref="AS67:AS130" si="24">AP67/(100*K67)</f>
        <v>0.86352861496782929</v>
      </c>
      <c r="AT67" s="6">
        <f t="shared" si="11"/>
        <v>0.14197233649359833</v>
      </c>
      <c r="AU67" s="6">
        <f t="shared" si="10"/>
        <v>9.1199270405836488E-2</v>
      </c>
      <c r="AV67" s="5">
        <f t="shared" si="17"/>
        <v>0</v>
      </c>
      <c r="AW67" s="5">
        <f t="shared" si="18"/>
        <v>5</v>
      </c>
      <c r="AX67" s="5">
        <f t="shared" si="19"/>
        <v>0</v>
      </c>
      <c r="AY67" s="5">
        <f t="shared" si="20"/>
        <v>0</v>
      </c>
      <c r="AZ67" s="5">
        <f t="shared" ref="AZ67:AZ130" si="25">IF(ABS(Z67-AA67)&lt;5,5,0)</f>
        <v>0</v>
      </c>
    </row>
    <row r="68" spans="1:52" x14ac:dyDescent="0.3">
      <c r="A68" s="5" t="s">
        <v>52</v>
      </c>
      <c r="B68" s="5" t="s">
        <v>56</v>
      </c>
      <c r="C68" s="5" t="s">
        <v>54</v>
      </c>
      <c r="D68" s="5" t="s">
        <v>56</v>
      </c>
      <c r="E68" s="5" t="s">
        <v>55</v>
      </c>
      <c r="F68" s="5">
        <v>2</v>
      </c>
      <c r="G68" s="5">
        <v>0.04</v>
      </c>
      <c r="H68" s="5" t="b">
        <v>0</v>
      </c>
      <c r="I68" s="5" t="b">
        <v>0</v>
      </c>
      <c r="J68" s="5" t="b">
        <v>0</v>
      </c>
      <c r="K68" s="5">
        <v>2.9529999999999998</v>
      </c>
      <c r="L68" s="5">
        <v>5.1999999999999998E-2</v>
      </c>
      <c r="M68" s="5">
        <v>-5.8000000000000003E-2</v>
      </c>
      <c r="N68" s="5">
        <v>22533.046999999999</v>
      </c>
      <c r="O68" s="5">
        <v>0.13600000000000001</v>
      </c>
      <c r="P68" s="5">
        <v>5.0000000000000001E-3</v>
      </c>
      <c r="Q68" s="6">
        <v>1E-3</v>
      </c>
      <c r="R68" s="6">
        <v>0.18</v>
      </c>
      <c r="S68" s="7">
        <v>876.40200000000004</v>
      </c>
      <c r="T68" s="5">
        <v>1838.375</v>
      </c>
      <c r="U68" s="5">
        <v>1.4610000000000001</v>
      </c>
      <c r="V68" s="5">
        <v>2.1709999999999998</v>
      </c>
      <c r="W68" s="5">
        <v>1.49</v>
      </c>
      <c r="X68" s="5">
        <v>3.4569999999999999</v>
      </c>
      <c r="Y68" s="5">
        <v>8.5820000000000007</v>
      </c>
      <c r="Z68" s="5">
        <v>2242</v>
      </c>
      <c r="AA68" s="5">
        <v>5270</v>
      </c>
      <c r="AB68" s="5">
        <v>2498</v>
      </c>
      <c r="AC68" s="5">
        <v>0.06</v>
      </c>
      <c r="AD68" s="5">
        <v>1</v>
      </c>
      <c r="AE68" s="5">
        <v>0</v>
      </c>
      <c r="AF68" s="5">
        <v>0</v>
      </c>
      <c r="AG68" s="5">
        <v>1</v>
      </c>
      <c r="AH68" s="5">
        <v>2.86</v>
      </c>
      <c r="AI68" s="5">
        <v>2.7548599999999999</v>
      </c>
      <c r="AJ68" s="5">
        <v>-1.008E-2</v>
      </c>
      <c r="AK68" s="5">
        <v>-3.7200000000000002E-3</v>
      </c>
      <c r="AL68" s="5">
        <v>0</v>
      </c>
      <c r="AM68" s="5">
        <v>0</v>
      </c>
      <c r="AN68" s="5">
        <v>0.27700000000000002</v>
      </c>
      <c r="AO68" s="6">
        <f t="shared" si="21"/>
        <v>0.42542694497153699</v>
      </c>
      <c r="AP68" s="5">
        <f t="shared" si="22"/>
        <v>256</v>
      </c>
      <c r="AQ68" s="8">
        <f t="shared" si="16"/>
        <v>0.78769230769230769</v>
      </c>
      <c r="AR68" s="6">
        <f t="shared" si="23"/>
        <v>0.47400379506641366</v>
      </c>
      <c r="AS68" s="6">
        <f t="shared" si="24"/>
        <v>0.86691500169319335</v>
      </c>
      <c r="AT68" s="6">
        <f t="shared" si="11"/>
        <v>0.30253074566743887</v>
      </c>
      <c r="AU68" s="6">
        <f t="shared" ref="AU68:AU131" si="26">(AP68-AP67)/(S68-S67)</f>
        <v>8.971023593792013E-2</v>
      </c>
      <c r="AV68" s="5">
        <f t="shared" si="17"/>
        <v>0</v>
      </c>
      <c r="AW68" s="5">
        <f t="shared" si="18"/>
        <v>5</v>
      </c>
      <c r="AX68" s="5">
        <f t="shared" si="19"/>
        <v>0</v>
      </c>
      <c r="AY68" s="5">
        <f t="shared" si="20"/>
        <v>0</v>
      </c>
      <c r="AZ68" s="5">
        <f t="shared" si="25"/>
        <v>0</v>
      </c>
    </row>
    <row r="69" spans="1:52" x14ac:dyDescent="0.3">
      <c r="A69" s="5" t="s">
        <v>52</v>
      </c>
      <c r="B69" s="5" t="s">
        <v>56</v>
      </c>
      <c r="C69" s="5" t="s">
        <v>54</v>
      </c>
      <c r="D69" s="5" t="s">
        <v>56</v>
      </c>
      <c r="E69" s="5" t="s">
        <v>55</v>
      </c>
      <c r="F69" s="5">
        <v>2</v>
      </c>
      <c r="G69" s="5">
        <v>0.04</v>
      </c>
      <c r="H69" s="5" t="b">
        <v>0</v>
      </c>
      <c r="I69" s="5" t="b">
        <v>0</v>
      </c>
      <c r="J69" s="5" t="b">
        <v>0</v>
      </c>
      <c r="K69" s="5">
        <v>2.9529999999999998</v>
      </c>
      <c r="L69" s="5">
        <v>5.1999999999999998E-2</v>
      </c>
      <c r="M69" s="5">
        <v>-5.8000000000000003E-2</v>
      </c>
      <c r="N69" s="5">
        <v>33691.928999999996</v>
      </c>
      <c r="O69" s="5">
        <v>0.09</v>
      </c>
      <c r="P69" s="5">
        <v>5.0000000000000001E-3</v>
      </c>
      <c r="Q69" s="6">
        <v>1E-3</v>
      </c>
      <c r="R69" s="6">
        <v>0.18</v>
      </c>
      <c r="S69" s="7">
        <v>887.29399999999998</v>
      </c>
      <c r="T69" s="5">
        <v>1838.375</v>
      </c>
      <c r="U69" s="5">
        <v>1.526</v>
      </c>
      <c r="V69" s="5">
        <v>2.0880000000000001</v>
      </c>
      <c r="W69" s="5">
        <v>1.377</v>
      </c>
      <c r="X69" s="5">
        <v>3.3069999999999999</v>
      </c>
      <c r="Y69" s="5">
        <v>8.3000000000000007</v>
      </c>
      <c r="Z69" s="5">
        <v>2274</v>
      </c>
      <c r="AA69" s="5">
        <v>5270</v>
      </c>
      <c r="AB69" s="5">
        <v>2530</v>
      </c>
      <c r="AC69" s="5">
        <v>0.06</v>
      </c>
      <c r="AD69" s="5">
        <v>1</v>
      </c>
      <c r="AE69" s="5">
        <v>0</v>
      </c>
      <c r="AF69" s="5">
        <v>0</v>
      </c>
      <c r="AG69" s="5">
        <v>1</v>
      </c>
      <c r="AH69" s="5">
        <v>2.88</v>
      </c>
      <c r="AI69" s="5">
        <v>2.8739400000000002</v>
      </c>
      <c r="AJ69" s="5">
        <v>1.093E-2</v>
      </c>
      <c r="AK69" s="5">
        <v>6.0000000000000002E-5</v>
      </c>
      <c r="AL69" s="5">
        <v>0</v>
      </c>
      <c r="AM69" s="5">
        <v>0</v>
      </c>
      <c r="AN69" s="5">
        <v>0.27700000000000002</v>
      </c>
      <c r="AO69" s="6">
        <f t="shared" si="21"/>
        <v>0.4314990512333966</v>
      </c>
      <c r="AP69" s="5">
        <f t="shared" si="22"/>
        <v>256</v>
      </c>
      <c r="AQ69" s="8">
        <f t="shared" si="16"/>
        <v>0.78769230769230769</v>
      </c>
      <c r="AR69" s="6">
        <f t="shared" si="23"/>
        <v>0.48007590132827327</v>
      </c>
      <c r="AS69" s="6">
        <f t="shared" si="24"/>
        <v>0.86691500169319335</v>
      </c>
      <c r="AT69" s="6">
        <f t="shared" si="11"/>
        <v>0.16023723295804118</v>
      </c>
      <c r="AU69" s="6">
        <f t="shared" si="26"/>
        <v>0</v>
      </c>
      <c r="AV69" s="5">
        <f t="shared" si="17"/>
        <v>0</v>
      </c>
      <c r="AW69" s="5">
        <f t="shared" si="18"/>
        <v>5</v>
      </c>
      <c r="AX69" s="5">
        <f t="shared" si="19"/>
        <v>0</v>
      </c>
      <c r="AY69" s="5">
        <f t="shared" si="20"/>
        <v>0</v>
      </c>
      <c r="AZ69" s="5">
        <f t="shared" si="25"/>
        <v>0</v>
      </c>
    </row>
    <row r="70" spans="1:52" x14ac:dyDescent="0.3">
      <c r="A70" s="5" t="s">
        <v>52</v>
      </c>
      <c r="B70" s="5" t="s">
        <v>56</v>
      </c>
      <c r="C70" s="5" t="s">
        <v>54</v>
      </c>
      <c r="D70" s="5" t="s">
        <v>56</v>
      </c>
      <c r="E70" s="5" t="s">
        <v>55</v>
      </c>
      <c r="F70" s="5">
        <v>2</v>
      </c>
      <c r="G70" s="5">
        <v>0.04</v>
      </c>
      <c r="H70" s="5" t="b">
        <v>0</v>
      </c>
      <c r="I70" s="5" t="b">
        <v>0</v>
      </c>
      <c r="J70" s="5" t="b">
        <v>0</v>
      </c>
      <c r="K70" s="5">
        <v>2.9529999999999998</v>
      </c>
      <c r="L70" s="5">
        <v>5.1999999999999998E-2</v>
      </c>
      <c r="M70" s="5">
        <v>-5.8000000000000003E-2</v>
      </c>
      <c r="N70" s="5">
        <v>-63314.48</v>
      </c>
      <c r="O70" s="5">
        <v>-4.7E-2</v>
      </c>
      <c r="P70" s="5">
        <v>5.0000000000000001E-3</v>
      </c>
      <c r="Q70" s="6">
        <v>1E-3</v>
      </c>
      <c r="R70" s="6">
        <v>0.18</v>
      </c>
      <c r="S70" s="7">
        <v>897.86599999999999</v>
      </c>
      <c r="T70" s="5">
        <v>1838.375</v>
      </c>
      <c r="U70" s="5">
        <v>1.466</v>
      </c>
      <c r="V70" s="5">
        <v>2.1459999999999999</v>
      </c>
      <c r="W70" s="5">
        <v>1.468</v>
      </c>
      <c r="X70" s="5">
        <v>3.4319999999999999</v>
      </c>
      <c r="Y70" s="5">
        <v>8.5150000000000006</v>
      </c>
      <c r="Z70" s="5">
        <v>2304</v>
      </c>
      <c r="AA70" s="5">
        <v>5270</v>
      </c>
      <c r="AB70" s="5">
        <v>2561</v>
      </c>
      <c r="AC70" s="5">
        <v>0.06</v>
      </c>
      <c r="AD70" s="5">
        <v>1</v>
      </c>
      <c r="AE70" s="5">
        <v>0</v>
      </c>
      <c r="AF70" s="5">
        <v>0</v>
      </c>
      <c r="AG70" s="5">
        <v>1</v>
      </c>
      <c r="AH70" s="5">
        <v>2.84</v>
      </c>
      <c r="AI70" s="5">
        <v>2.8661099999999999</v>
      </c>
      <c r="AJ70" s="5">
        <v>-7.3999999999999999E-4</v>
      </c>
      <c r="AK70" s="5">
        <v>-9.0000000000000006E-5</v>
      </c>
      <c r="AL70" s="5">
        <v>0</v>
      </c>
      <c r="AM70" s="5">
        <v>0</v>
      </c>
      <c r="AN70" s="5">
        <v>0.27300000000000002</v>
      </c>
      <c r="AO70" s="6">
        <f t="shared" si="21"/>
        <v>0.43719165085388995</v>
      </c>
      <c r="AP70" s="5">
        <f t="shared" si="22"/>
        <v>257</v>
      </c>
      <c r="AQ70" s="8">
        <f t="shared" si="16"/>
        <v>0.79076923076923078</v>
      </c>
      <c r="AR70" s="6">
        <f t="shared" si="23"/>
        <v>0.48595825426944972</v>
      </c>
      <c r="AS70" s="6">
        <f t="shared" si="24"/>
        <v>0.87030138841855742</v>
      </c>
      <c r="AT70" s="6">
        <f t="shared" si="11"/>
        <v>9.1955966399932712E-2</v>
      </c>
      <c r="AU70" s="6">
        <f t="shared" si="26"/>
        <v>9.4589481649640539E-2</v>
      </c>
      <c r="AV70" s="5">
        <f t="shared" si="17"/>
        <v>0</v>
      </c>
      <c r="AW70" s="5">
        <f t="shared" si="18"/>
        <v>5</v>
      </c>
      <c r="AX70" s="5">
        <f t="shared" si="19"/>
        <v>0</v>
      </c>
      <c r="AY70" s="5">
        <f t="shared" si="20"/>
        <v>0</v>
      </c>
      <c r="AZ70" s="5">
        <f t="shared" si="25"/>
        <v>0</v>
      </c>
    </row>
    <row r="71" spans="1:52" x14ac:dyDescent="0.3">
      <c r="A71" s="5" t="s">
        <v>52</v>
      </c>
      <c r="B71" s="5" t="s">
        <v>56</v>
      </c>
      <c r="C71" s="5" t="s">
        <v>54</v>
      </c>
      <c r="D71" s="5" t="s">
        <v>56</v>
      </c>
      <c r="E71" s="5" t="s">
        <v>55</v>
      </c>
      <c r="F71" s="5">
        <v>2</v>
      </c>
      <c r="G71" s="5">
        <v>0.04</v>
      </c>
      <c r="H71" s="5" t="b">
        <v>0</v>
      </c>
      <c r="I71" s="5" t="b">
        <v>0</v>
      </c>
      <c r="J71" s="5" t="b">
        <v>0</v>
      </c>
      <c r="K71" s="5">
        <v>2.9529999999999998</v>
      </c>
      <c r="L71" s="5">
        <v>5.1999999999999998E-2</v>
      </c>
      <c r="M71" s="5">
        <v>-5.8000000000000003E-2</v>
      </c>
      <c r="N71" s="5">
        <v>65359.459000000003</v>
      </c>
      <c r="O71" s="5">
        <v>4.4999999999999998E-2</v>
      </c>
      <c r="P71" s="5">
        <v>5.0000000000000001E-3</v>
      </c>
      <c r="Q71" s="6">
        <v>1E-3</v>
      </c>
      <c r="R71" s="6">
        <v>0.18</v>
      </c>
      <c r="S71" s="7">
        <v>908.69200000000001</v>
      </c>
      <c r="T71" s="5">
        <v>1838.375</v>
      </c>
      <c r="U71" s="5">
        <v>1.429</v>
      </c>
      <c r="V71" s="5">
        <v>2.802</v>
      </c>
      <c r="W71" s="5">
        <v>1.51</v>
      </c>
      <c r="X71" s="5">
        <v>3.8479999999999999</v>
      </c>
      <c r="Y71" s="5">
        <v>9.593</v>
      </c>
      <c r="Z71" s="5">
        <v>2335</v>
      </c>
      <c r="AA71" s="5">
        <v>5270</v>
      </c>
      <c r="AB71" s="5">
        <v>2593</v>
      </c>
      <c r="AC71" s="5">
        <v>0.06</v>
      </c>
      <c r="AD71" s="5">
        <v>1</v>
      </c>
      <c r="AE71" s="5">
        <v>0</v>
      </c>
      <c r="AF71" s="5">
        <v>0</v>
      </c>
      <c r="AG71" s="5">
        <v>1</v>
      </c>
      <c r="AH71" s="5">
        <v>2.86</v>
      </c>
      <c r="AI71" s="5">
        <v>2.8675600000000001</v>
      </c>
      <c r="AJ71" s="5">
        <v>1.2999999999999999E-4</v>
      </c>
      <c r="AK71" s="5">
        <v>-5.0000000000000002E-5</v>
      </c>
      <c r="AL71" s="5">
        <v>0</v>
      </c>
      <c r="AM71" s="5">
        <v>0</v>
      </c>
      <c r="AN71" s="5">
        <v>0.27700000000000002</v>
      </c>
      <c r="AO71" s="6">
        <f t="shared" si="21"/>
        <v>0.4430740037950664</v>
      </c>
      <c r="AP71" s="5">
        <f t="shared" si="22"/>
        <v>258</v>
      </c>
      <c r="AQ71" s="8">
        <f t="shared" si="16"/>
        <v>0.79384615384615387</v>
      </c>
      <c r="AR71" s="6">
        <f t="shared" si="23"/>
        <v>0.49203036053130927</v>
      </c>
      <c r="AS71" s="6">
        <f t="shared" si="24"/>
        <v>0.87368777514392137</v>
      </c>
      <c r="AT71" s="6">
        <f t="shared" ref="AT71:AT134" si="27">AVERAGE(AU67:AU71)</f>
        <v>7.3573841566904039E-2</v>
      </c>
      <c r="AU71" s="6">
        <f t="shared" si="26"/>
        <v>9.2370219841123036E-2</v>
      </c>
      <c r="AV71" s="5">
        <f t="shared" si="17"/>
        <v>0</v>
      </c>
      <c r="AW71" s="5">
        <f t="shared" si="18"/>
        <v>5</v>
      </c>
      <c r="AX71" s="5">
        <f t="shared" si="19"/>
        <v>0</v>
      </c>
      <c r="AY71" s="5">
        <f t="shared" si="20"/>
        <v>0</v>
      </c>
      <c r="AZ71" s="5">
        <f t="shared" si="25"/>
        <v>0</v>
      </c>
    </row>
    <row r="72" spans="1:52" x14ac:dyDescent="0.3">
      <c r="A72" s="5" t="s">
        <v>52</v>
      </c>
      <c r="B72" s="5" t="s">
        <v>56</v>
      </c>
      <c r="C72" s="5" t="s">
        <v>54</v>
      </c>
      <c r="D72" s="5" t="s">
        <v>56</v>
      </c>
      <c r="E72" s="5" t="s">
        <v>55</v>
      </c>
      <c r="F72" s="5">
        <v>2</v>
      </c>
      <c r="G72" s="5">
        <v>0.04</v>
      </c>
      <c r="H72" s="5" t="b">
        <v>0</v>
      </c>
      <c r="I72" s="5" t="b">
        <v>0</v>
      </c>
      <c r="J72" s="5" t="b">
        <v>0</v>
      </c>
      <c r="K72" s="5">
        <v>2.9529999999999998</v>
      </c>
      <c r="L72" s="5">
        <v>5.1999999999999998E-2</v>
      </c>
      <c r="M72" s="5">
        <v>-5.8000000000000003E-2</v>
      </c>
      <c r="N72" s="5">
        <v>11259.73</v>
      </c>
      <c r="O72" s="5">
        <v>0.26100000000000001</v>
      </c>
      <c r="P72" s="5">
        <v>5.0000000000000001E-3</v>
      </c>
      <c r="Q72" s="6">
        <v>1E-3</v>
      </c>
      <c r="R72" s="6">
        <v>0.18</v>
      </c>
      <c r="S72" s="7">
        <v>921.19500000000005</v>
      </c>
      <c r="T72" s="5">
        <v>1838.375</v>
      </c>
      <c r="U72" s="5">
        <v>1.893</v>
      </c>
      <c r="V72" s="5">
        <v>2.653</v>
      </c>
      <c r="W72" s="5">
        <v>1.3939999999999999</v>
      </c>
      <c r="X72" s="5">
        <v>3.6379999999999999</v>
      </c>
      <c r="Y72" s="5">
        <v>9.5809999999999995</v>
      </c>
      <c r="Z72" s="5">
        <v>2371</v>
      </c>
      <c r="AA72" s="5">
        <v>5270</v>
      </c>
      <c r="AB72" s="5">
        <v>2628</v>
      </c>
      <c r="AC72" s="5">
        <v>0.06</v>
      </c>
      <c r="AD72" s="5">
        <v>1</v>
      </c>
      <c r="AE72" s="5">
        <v>0</v>
      </c>
      <c r="AF72" s="5">
        <v>0</v>
      </c>
      <c r="AG72" s="5">
        <v>1</v>
      </c>
      <c r="AH72" s="5">
        <v>2.88</v>
      </c>
      <c r="AI72" s="5">
        <v>2.8780700000000001</v>
      </c>
      <c r="AJ72" s="5">
        <v>8.4000000000000003E-4</v>
      </c>
      <c r="AK72" s="5">
        <v>1.9000000000000001E-4</v>
      </c>
      <c r="AL72" s="5">
        <v>0</v>
      </c>
      <c r="AM72" s="5">
        <v>0</v>
      </c>
      <c r="AN72" s="5">
        <v>0.27700000000000002</v>
      </c>
      <c r="AO72" s="6">
        <f t="shared" si="21"/>
        <v>0.44990512333965843</v>
      </c>
      <c r="AP72" s="5">
        <f t="shared" si="22"/>
        <v>257</v>
      </c>
      <c r="AQ72" s="8">
        <f t="shared" si="16"/>
        <v>0.79076923076923078</v>
      </c>
      <c r="AR72" s="6">
        <f t="shared" si="23"/>
        <v>0.4986717267552182</v>
      </c>
      <c r="AS72" s="6">
        <f t="shared" si="24"/>
        <v>0.87030138841855742</v>
      </c>
      <c r="AT72" s="6">
        <f t="shared" si="27"/>
        <v>3.9337826564357935E-2</v>
      </c>
      <c r="AU72" s="6">
        <f t="shared" si="26"/>
        <v>-7.9980804606894065E-2</v>
      </c>
      <c r="AV72" s="5">
        <f t="shared" si="17"/>
        <v>0</v>
      </c>
      <c r="AW72" s="5">
        <f t="shared" si="18"/>
        <v>5</v>
      </c>
      <c r="AX72" s="5">
        <f t="shared" si="19"/>
        <v>0</v>
      </c>
      <c r="AY72" s="5">
        <f t="shared" si="20"/>
        <v>0</v>
      </c>
      <c r="AZ72" s="5">
        <f t="shared" si="25"/>
        <v>0</v>
      </c>
    </row>
    <row r="73" spans="1:52" x14ac:dyDescent="0.3">
      <c r="A73" s="5" t="s">
        <v>52</v>
      </c>
      <c r="B73" s="5" t="s">
        <v>56</v>
      </c>
      <c r="C73" s="5" t="s">
        <v>54</v>
      </c>
      <c r="D73" s="5" t="s">
        <v>56</v>
      </c>
      <c r="E73" s="5" t="s">
        <v>55</v>
      </c>
      <c r="F73" s="5">
        <v>2</v>
      </c>
      <c r="G73" s="5">
        <v>0.04</v>
      </c>
      <c r="H73" s="5" t="b">
        <v>0</v>
      </c>
      <c r="I73" s="5" t="b">
        <v>0</v>
      </c>
      <c r="J73" s="5" t="b">
        <v>0</v>
      </c>
      <c r="K73" s="5">
        <v>2.9529999999999998</v>
      </c>
      <c r="L73" s="5">
        <v>5.1999999999999998E-2</v>
      </c>
      <c r="M73" s="5">
        <v>-5.8000000000000003E-2</v>
      </c>
      <c r="N73" s="5">
        <v>13937.38</v>
      </c>
      <c r="O73" s="5">
        <v>0.20799999999999999</v>
      </c>
      <c r="P73" s="5">
        <v>5.0000000000000001E-3</v>
      </c>
      <c r="Q73" s="6">
        <v>1E-3</v>
      </c>
      <c r="R73" s="6">
        <v>0.18</v>
      </c>
      <c r="S73" s="7">
        <v>933.09299999999996</v>
      </c>
      <c r="T73" s="5">
        <v>1838.375</v>
      </c>
      <c r="U73" s="5">
        <v>1.4339999999999999</v>
      </c>
      <c r="V73" s="5">
        <v>2.0790000000000002</v>
      </c>
      <c r="W73" s="5">
        <v>1.446</v>
      </c>
      <c r="X73" s="5">
        <v>3.4420000000000002</v>
      </c>
      <c r="Y73" s="5">
        <v>8.4039999999999999</v>
      </c>
      <c r="Z73" s="5">
        <v>2405</v>
      </c>
      <c r="AA73" s="5">
        <v>5270</v>
      </c>
      <c r="AB73" s="5">
        <v>2665</v>
      </c>
      <c r="AC73" s="5">
        <v>0.06</v>
      </c>
      <c r="AD73" s="5">
        <v>1</v>
      </c>
      <c r="AE73" s="5">
        <v>0</v>
      </c>
      <c r="AF73" s="5">
        <v>0</v>
      </c>
      <c r="AG73" s="5">
        <v>1</v>
      </c>
      <c r="AH73" s="5">
        <v>2.88</v>
      </c>
      <c r="AI73" s="5">
        <v>2.87527</v>
      </c>
      <c r="AJ73" s="5">
        <v>-2.4000000000000001E-4</v>
      </c>
      <c r="AK73" s="5">
        <v>2.1199999999999999E-3</v>
      </c>
      <c r="AL73" s="5">
        <v>0</v>
      </c>
      <c r="AM73" s="5">
        <v>0</v>
      </c>
      <c r="AN73" s="5">
        <v>0.27300000000000002</v>
      </c>
      <c r="AO73" s="6">
        <f t="shared" si="21"/>
        <v>0.45635673624288425</v>
      </c>
      <c r="AP73" s="5">
        <f t="shared" si="22"/>
        <v>260</v>
      </c>
      <c r="AQ73" s="8">
        <f t="shared" si="16"/>
        <v>0.8</v>
      </c>
      <c r="AR73" s="6">
        <f t="shared" si="23"/>
        <v>0.5056925996204934</v>
      </c>
      <c r="AS73" s="6">
        <f t="shared" si="24"/>
        <v>0.88046054859464951</v>
      </c>
      <c r="AT73" s="6">
        <f t="shared" si="27"/>
        <v>7.182442284626496E-2</v>
      </c>
      <c r="AU73" s="6">
        <f t="shared" si="26"/>
        <v>0.25214321734745526</v>
      </c>
      <c r="AV73" s="5">
        <f t="shared" si="17"/>
        <v>0</v>
      </c>
      <c r="AW73" s="5">
        <f t="shared" si="18"/>
        <v>5</v>
      </c>
      <c r="AX73" s="5">
        <f t="shared" si="19"/>
        <v>0</v>
      </c>
      <c r="AY73" s="5">
        <f t="shared" si="20"/>
        <v>0</v>
      </c>
      <c r="AZ73" s="5">
        <f t="shared" si="25"/>
        <v>0</v>
      </c>
    </row>
    <row r="74" spans="1:52" x14ac:dyDescent="0.3">
      <c r="A74" s="5" t="s">
        <v>52</v>
      </c>
      <c r="B74" s="5" t="s">
        <v>56</v>
      </c>
      <c r="C74" s="5" t="s">
        <v>54</v>
      </c>
      <c r="D74" s="5" t="s">
        <v>56</v>
      </c>
      <c r="E74" s="5" t="s">
        <v>55</v>
      </c>
      <c r="F74" s="5">
        <v>2</v>
      </c>
      <c r="G74" s="5">
        <v>0.04</v>
      </c>
      <c r="H74" s="5" t="b">
        <v>0</v>
      </c>
      <c r="I74" s="5" t="b">
        <v>0</v>
      </c>
      <c r="J74" s="5" t="b">
        <v>0</v>
      </c>
      <c r="K74" s="5">
        <v>2.9529999999999998</v>
      </c>
      <c r="L74" s="5">
        <v>5.1999999999999998E-2</v>
      </c>
      <c r="M74" s="5">
        <v>-5.8000000000000003E-2</v>
      </c>
      <c r="N74" s="5">
        <v>-53821.434000000001</v>
      </c>
      <c r="O74" s="5">
        <v>-5.2999999999999999E-2</v>
      </c>
      <c r="P74" s="5">
        <v>5.0000000000000001E-3</v>
      </c>
      <c r="Q74" s="6">
        <v>1E-3</v>
      </c>
      <c r="R74" s="6">
        <v>0.18</v>
      </c>
      <c r="S74" s="7">
        <v>943.90800000000002</v>
      </c>
      <c r="T74" s="5">
        <v>1838.375</v>
      </c>
      <c r="U74" s="5">
        <v>1.5669999999999999</v>
      </c>
      <c r="V74" s="5">
        <v>2.254</v>
      </c>
      <c r="W74" s="5">
        <v>1.3919999999999999</v>
      </c>
      <c r="X74" s="5">
        <v>3.6859999999999999</v>
      </c>
      <c r="Y74" s="5">
        <v>8.9030000000000005</v>
      </c>
      <c r="Z74" s="5">
        <v>2436</v>
      </c>
      <c r="AA74" s="5">
        <v>5270</v>
      </c>
      <c r="AB74" s="5">
        <v>2697</v>
      </c>
      <c r="AC74" s="5">
        <v>0.06</v>
      </c>
      <c r="AD74" s="5">
        <v>1</v>
      </c>
      <c r="AE74" s="5">
        <v>0</v>
      </c>
      <c r="AF74" s="5">
        <v>0</v>
      </c>
      <c r="AG74" s="5">
        <v>1</v>
      </c>
      <c r="AH74" s="5">
        <v>2.86</v>
      </c>
      <c r="AI74" s="5">
        <v>2.8614999999999999</v>
      </c>
      <c r="AJ74" s="5">
        <v>-1.2700000000000001E-3</v>
      </c>
      <c r="AK74" s="5">
        <v>-2.2000000000000001E-4</v>
      </c>
      <c r="AL74" s="5">
        <v>0</v>
      </c>
      <c r="AM74" s="5">
        <v>0</v>
      </c>
      <c r="AN74" s="5">
        <v>0.27700000000000002</v>
      </c>
      <c r="AO74" s="6">
        <f t="shared" si="21"/>
        <v>0.4622390891840607</v>
      </c>
      <c r="AP74" s="5">
        <f t="shared" si="22"/>
        <v>261</v>
      </c>
      <c r="AQ74" s="8">
        <f t="shared" si="16"/>
        <v>0.80307692307692302</v>
      </c>
      <c r="AR74" s="6">
        <f t="shared" si="23"/>
        <v>0.5117647058823529</v>
      </c>
      <c r="AS74" s="6">
        <f t="shared" si="24"/>
        <v>0.88384693532001346</v>
      </c>
      <c r="AT74" s="6">
        <f t="shared" si="27"/>
        <v>9.0317256873079482E-2</v>
      </c>
      <c r="AU74" s="6">
        <f t="shared" si="26"/>
        <v>9.2464170134072585E-2</v>
      </c>
      <c r="AV74" s="5">
        <f t="shared" si="17"/>
        <v>0</v>
      </c>
      <c r="AW74" s="5">
        <f t="shared" si="18"/>
        <v>5</v>
      </c>
      <c r="AX74" s="5">
        <f t="shared" si="19"/>
        <v>0</v>
      </c>
      <c r="AY74" s="5">
        <f t="shared" si="20"/>
        <v>0</v>
      </c>
      <c r="AZ74" s="5">
        <f t="shared" si="25"/>
        <v>0</v>
      </c>
    </row>
    <row r="75" spans="1:52" x14ac:dyDescent="0.3">
      <c r="A75" s="5" t="s">
        <v>52</v>
      </c>
      <c r="B75" s="5" t="s">
        <v>56</v>
      </c>
      <c r="C75" s="5" t="s">
        <v>54</v>
      </c>
      <c r="D75" s="5" t="s">
        <v>56</v>
      </c>
      <c r="E75" s="5" t="s">
        <v>55</v>
      </c>
      <c r="F75" s="5">
        <v>2</v>
      </c>
      <c r="G75" s="5">
        <v>0.04</v>
      </c>
      <c r="H75" s="5" t="b">
        <v>0</v>
      </c>
      <c r="I75" s="5" t="b">
        <v>0</v>
      </c>
      <c r="J75" s="5" t="b">
        <v>0</v>
      </c>
      <c r="K75" s="5">
        <v>2.9529999999999998</v>
      </c>
      <c r="L75" s="5">
        <v>5.1999999999999998E-2</v>
      </c>
      <c r="M75" s="5">
        <v>-5.8000000000000003E-2</v>
      </c>
      <c r="N75" s="5">
        <v>-576041.11499999999</v>
      </c>
      <c r="O75" s="5">
        <v>-5.0000000000000001E-3</v>
      </c>
      <c r="P75" s="5">
        <v>5.0000000000000001E-3</v>
      </c>
      <c r="Q75" s="6">
        <v>1E-3</v>
      </c>
      <c r="R75" s="6">
        <v>0.18</v>
      </c>
      <c r="S75" s="7">
        <v>955.50400000000002</v>
      </c>
      <c r="T75" s="5">
        <v>1838.375</v>
      </c>
      <c r="U75" s="5">
        <v>1.6140000000000001</v>
      </c>
      <c r="V75" s="5">
        <v>2.2519999999999998</v>
      </c>
      <c r="W75" s="5">
        <v>1.458</v>
      </c>
      <c r="X75" s="5">
        <v>3.968</v>
      </c>
      <c r="Y75" s="5">
        <v>9.2949999999999999</v>
      </c>
      <c r="Z75" s="5">
        <v>2470</v>
      </c>
      <c r="AA75" s="5">
        <v>5270</v>
      </c>
      <c r="AB75" s="5">
        <v>2730</v>
      </c>
      <c r="AC75" s="5">
        <v>0.06</v>
      </c>
      <c r="AD75" s="5">
        <v>1</v>
      </c>
      <c r="AE75" s="5">
        <v>0</v>
      </c>
      <c r="AF75" s="5">
        <v>0</v>
      </c>
      <c r="AG75" s="5">
        <v>1</v>
      </c>
      <c r="AH75" s="5">
        <v>2.9</v>
      </c>
      <c r="AI75" s="5">
        <v>2.8800599999999998</v>
      </c>
      <c r="AJ75" s="5">
        <v>1.6000000000000001E-3</v>
      </c>
      <c r="AK75" s="5">
        <v>2.4000000000000001E-4</v>
      </c>
      <c r="AL75" s="5">
        <v>0</v>
      </c>
      <c r="AM75" s="5">
        <v>0</v>
      </c>
      <c r="AN75" s="5">
        <v>0.27700000000000002</v>
      </c>
      <c r="AO75" s="6">
        <f t="shared" si="21"/>
        <v>0.46869070208728653</v>
      </c>
      <c r="AP75" s="5">
        <f t="shared" si="22"/>
        <v>260</v>
      </c>
      <c r="AQ75" s="8">
        <f t="shared" si="16"/>
        <v>0.8</v>
      </c>
      <c r="AR75" s="6">
        <f t="shared" si="23"/>
        <v>0.51802656546489567</v>
      </c>
      <c r="AS75" s="6">
        <f t="shared" si="24"/>
        <v>0.88046054859464951</v>
      </c>
      <c r="AT75" s="6">
        <f t="shared" si="27"/>
        <v>5.4152033878784353E-2</v>
      </c>
      <c r="AU75" s="6">
        <f t="shared" si="26"/>
        <v>-8.6236633321835093E-2</v>
      </c>
      <c r="AV75" s="5">
        <f t="shared" si="17"/>
        <v>0</v>
      </c>
      <c r="AW75" s="5">
        <f t="shared" si="18"/>
        <v>5</v>
      </c>
      <c r="AX75" s="5">
        <f t="shared" si="19"/>
        <v>0</v>
      </c>
      <c r="AY75" s="5">
        <f t="shared" si="20"/>
        <v>0</v>
      </c>
      <c r="AZ75" s="5">
        <f t="shared" si="25"/>
        <v>0</v>
      </c>
    </row>
    <row r="76" spans="1:52" x14ac:dyDescent="0.3">
      <c r="A76" s="5" t="s">
        <v>52</v>
      </c>
      <c r="B76" s="5" t="s">
        <v>56</v>
      </c>
      <c r="C76" s="5" t="s">
        <v>54</v>
      </c>
      <c r="D76" s="5" t="s">
        <v>56</v>
      </c>
      <c r="E76" s="5" t="s">
        <v>55</v>
      </c>
      <c r="F76" s="5">
        <v>2</v>
      </c>
      <c r="G76" s="5">
        <v>0.04</v>
      </c>
      <c r="H76" s="5" t="b">
        <v>0</v>
      </c>
      <c r="I76" s="5" t="b">
        <v>0</v>
      </c>
      <c r="J76" s="5" t="b">
        <v>0</v>
      </c>
      <c r="K76" s="5">
        <v>2.9529999999999998</v>
      </c>
      <c r="L76" s="5">
        <v>5.1999999999999998E-2</v>
      </c>
      <c r="M76" s="5">
        <v>-5.8000000000000003E-2</v>
      </c>
      <c r="N76" s="5">
        <v>16300.721</v>
      </c>
      <c r="O76" s="5">
        <v>0.17199999999999999</v>
      </c>
      <c r="P76" s="5">
        <v>5.0000000000000001E-3</v>
      </c>
      <c r="Q76" s="6">
        <v>1E-3</v>
      </c>
      <c r="R76" s="6">
        <v>0.18</v>
      </c>
      <c r="S76" s="7">
        <v>967.50300000000004</v>
      </c>
      <c r="T76" s="5">
        <v>1838.375</v>
      </c>
      <c r="U76" s="5">
        <v>1.5349999999999999</v>
      </c>
      <c r="V76" s="5">
        <v>2.3330000000000002</v>
      </c>
      <c r="W76" s="5">
        <v>1.423</v>
      </c>
      <c r="X76" s="5">
        <v>3.4340000000000002</v>
      </c>
      <c r="Y76" s="5">
        <v>8.7289999999999992</v>
      </c>
      <c r="Z76" s="5">
        <v>2504</v>
      </c>
      <c r="AA76" s="5">
        <v>5270</v>
      </c>
      <c r="AB76" s="5">
        <v>2766</v>
      </c>
      <c r="AC76" s="5">
        <v>0.06</v>
      </c>
      <c r="AD76" s="5">
        <v>1</v>
      </c>
      <c r="AE76" s="5">
        <v>0</v>
      </c>
      <c r="AF76" s="5">
        <v>0</v>
      </c>
      <c r="AG76" s="5">
        <v>1</v>
      </c>
      <c r="AH76" s="5">
        <v>2.86</v>
      </c>
      <c r="AI76" s="5">
        <v>2.8735900000000001</v>
      </c>
      <c r="AJ76" s="5">
        <v>-5.4000000000000001E-4</v>
      </c>
      <c r="AK76" s="5">
        <v>1E-4</v>
      </c>
      <c r="AL76" s="5">
        <v>0</v>
      </c>
      <c r="AM76" s="5">
        <v>0</v>
      </c>
      <c r="AN76" s="5">
        <v>0.27300000000000002</v>
      </c>
      <c r="AO76" s="6">
        <f t="shared" si="21"/>
        <v>0.47514231499051235</v>
      </c>
      <c r="AP76" s="5">
        <f t="shared" si="22"/>
        <v>262</v>
      </c>
      <c r="AQ76" s="8">
        <f t="shared" si="16"/>
        <v>0.80615384615384611</v>
      </c>
      <c r="AR76" s="6">
        <f t="shared" si="23"/>
        <v>0.52485768500948771</v>
      </c>
      <c r="AS76" s="6">
        <f t="shared" si="24"/>
        <v>0.88723332204537753</v>
      </c>
      <c r="AT76" s="6">
        <f t="shared" si="27"/>
        <v>6.9014101253171561E-2</v>
      </c>
      <c r="AU76" s="6">
        <f t="shared" si="26"/>
        <v>0.16668055671305909</v>
      </c>
      <c r="AV76" s="5">
        <f t="shared" si="17"/>
        <v>0</v>
      </c>
      <c r="AW76" s="5">
        <f t="shared" si="18"/>
        <v>5</v>
      </c>
      <c r="AX76" s="5">
        <f t="shared" si="19"/>
        <v>0</v>
      </c>
      <c r="AY76" s="5">
        <f t="shared" si="20"/>
        <v>0</v>
      </c>
      <c r="AZ76" s="5">
        <f t="shared" si="25"/>
        <v>0</v>
      </c>
    </row>
    <row r="77" spans="1:52" x14ac:dyDescent="0.3">
      <c r="A77" s="5" t="s">
        <v>52</v>
      </c>
      <c r="B77" s="5" t="s">
        <v>56</v>
      </c>
      <c r="C77" s="5" t="s">
        <v>54</v>
      </c>
      <c r="D77" s="5" t="s">
        <v>56</v>
      </c>
      <c r="E77" s="5" t="s">
        <v>55</v>
      </c>
      <c r="F77" s="5">
        <v>2</v>
      </c>
      <c r="G77" s="5">
        <v>0.04</v>
      </c>
      <c r="H77" s="5" t="b">
        <v>0</v>
      </c>
      <c r="I77" s="5" t="b">
        <v>0</v>
      </c>
      <c r="J77" s="5" t="b">
        <v>0</v>
      </c>
      <c r="K77" s="5">
        <v>2.9529999999999998</v>
      </c>
      <c r="L77" s="5">
        <v>5.1999999999999998E-2</v>
      </c>
      <c r="M77" s="5">
        <v>-5.8000000000000003E-2</v>
      </c>
      <c r="N77" s="5">
        <v>69669.671000000002</v>
      </c>
      <c r="O77" s="5">
        <v>0.04</v>
      </c>
      <c r="P77" s="5">
        <v>5.0000000000000001E-3</v>
      </c>
      <c r="Q77" s="6">
        <v>1E-3</v>
      </c>
      <c r="R77" s="6">
        <v>0.18</v>
      </c>
      <c r="S77" s="7">
        <v>978.99800000000005</v>
      </c>
      <c r="T77" s="5">
        <v>1838.375</v>
      </c>
      <c r="U77" s="5">
        <v>1.6180000000000001</v>
      </c>
      <c r="V77" s="5">
        <v>2.2290000000000001</v>
      </c>
      <c r="W77" s="5">
        <v>1.7290000000000001</v>
      </c>
      <c r="X77" s="5">
        <v>3.6</v>
      </c>
      <c r="Y77" s="5">
        <v>9.1790000000000003</v>
      </c>
      <c r="Z77" s="5">
        <v>2537</v>
      </c>
      <c r="AA77" s="5">
        <v>5270</v>
      </c>
      <c r="AB77" s="5">
        <v>2799</v>
      </c>
      <c r="AC77" s="5">
        <v>0.06</v>
      </c>
      <c r="AD77" s="5">
        <v>1</v>
      </c>
      <c r="AE77" s="5">
        <v>0</v>
      </c>
      <c r="AF77" s="5">
        <v>0</v>
      </c>
      <c r="AG77" s="5">
        <v>1</v>
      </c>
      <c r="AH77" s="5">
        <v>2.86</v>
      </c>
      <c r="AI77" s="5">
        <v>2.8718499999999998</v>
      </c>
      <c r="AJ77" s="5">
        <v>-1.4999999999999999E-4</v>
      </c>
      <c r="AK77" s="5">
        <v>-1.1E-4</v>
      </c>
      <c r="AL77" s="5">
        <v>0</v>
      </c>
      <c r="AM77" s="5">
        <v>0</v>
      </c>
      <c r="AN77" s="5">
        <v>0.27300000000000002</v>
      </c>
      <c r="AO77" s="6">
        <f t="shared" si="21"/>
        <v>0.48140417457305501</v>
      </c>
      <c r="AP77" s="5">
        <f t="shared" si="22"/>
        <v>262</v>
      </c>
      <c r="AQ77" s="8">
        <f t="shared" si="16"/>
        <v>0.80615384615384611</v>
      </c>
      <c r="AR77" s="6">
        <f t="shared" si="23"/>
        <v>0.53111954459203037</v>
      </c>
      <c r="AS77" s="6">
        <f t="shared" si="24"/>
        <v>0.88723332204537753</v>
      </c>
      <c r="AT77" s="6">
        <f t="shared" si="27"/>
        <v>8.5010262174550377E-2</v>
      </c>
      <c r="AU77" s="6">
        <f t="shared" si="26"/>
        <v>0</v>
      </c>
      <c r="AV77" s="5">
        <f t="shared" si="17"/>
        <v>0</v>
      </c>
      <c r="AW77" s="5">
        <f t="shared" si="18"/>
        <v>5</v>
      </c>
      <c r="AX77" s="5">
        <f t="shared" si="19"/>
        <v>0</v>
      </c>
      <c r="AY77" s="5">
        <f t="shared" si="20"/>
        <v>0</v>
      </c>
      <c r="AZ77" s="5">
        <f t="shared" si="25"/>
        <v>0</v>
      </c>
    </row>
    <row r="78" spans="1:52" x14ac:dyDescent="0.3">
      <c r="A78" s="5" t="s">
        <v>52</v>
      </c>
      <c r="B78" s="5" t="s">
        <v>56</v>
      </c>
      <c r="C78" s="5" t="s">
        <v>54</v>
      </c>
      <c r="D78" s="5" t="s">
        <v>56</v>
      </c>
      <c r="E78" s="5" t="s">
        <v>55</v>
      </c>
      <c r="F78" s="5">
        <v>2</v>
      </c>
      <c r="G78" s="5">
        <v>0.04</v>
      </c>
      <c r="H78" s="5" t="b">
        <v>0</v>
      </c>
      <c r="I78" s="5" t="b">
        <v>0</v>
      </c>
      <c r="J78" s="5" t="b">
        <v>0</v>
      </c>
      <c r="K78" s="5">
        <v>2.9529999999999998</v>
      </c>
      <c r="L78" s="5">
        <v>5.1999999999999998E-2</v>
      </c>
      <c r="M78" s="5">
        <v>-5.8000000000000003E-2</v>
      </c>
      <c r="N78" s="5">
        <v>33382.978999999999</v>
      </c>
      <c r="O78" s="5">
        <v>8.2000000000000003E-2</v>
      </c>
      <c r="P78" s="5">
        <v>5.0000000000000001E-3</v>
      </c>
      <c r="Q78" s="6">
        <v>1E-3</v>
      </c>
      <c r="R78" s="6">
        <v>0.18</v>
      </c>
      <c r="S78" s="7">
        <v>990.81100000000004</v>
      </c>
      <c r="T78" s="5">
        <v>1838.375</v>
      </c>
      <c r="U78" s="5">
        <v>2.218</v>
      </c>
      <c r="V78" s="5">
        <v>2.2360000000000002</v>
      </c>
      <c r="W78" s="5">
        <v>1.42</v>
      </c>
      <c r="X78" s="5">
        <v>3.649</v>
      </c>
      <c r="Y78" s="5">
        <v>9.5259999999999998</v>
      </c>
      <c r="Z78" s="5">
        <v>2571</v>
      </c>
      <c r="AA78" s="5">
        <v>5270</v>
      </c>
      <c r="AB78" s="5">
        <v>2835</v>
      </c>
      <c r="AC78" s="5">
        <v>0.06</v>
      </c>
      <c r="AD78" s="5">
        <v>1</v>
      </c>
      <c r="AE78" s="5">
        <v>0</v>
      </c>
      <c r="AF78" s="5">
        <v>0</v>
      </c>
      <c r="AG78" s="5">
        <v>1</v>
      </c>
      <c r="AH78" s="5">
        <v>2.88</v>
      </c>
      <c r="AI78" s="5">
        <v>2.8760599999999998</v>
      </c>
      <c r="AJ78" s="5">
        <v>3.6000000000000002E-4</v>
      </c>
      <c r="AK78" s="5">
        <v>1.0000000000000001E-5</v>
      </c>
      <c r="AL78" s="5">
        <v>0</v>
      </c>
      <c r="AM78" s="5">
        <v>0</v>
      </c>
      <c r="AN78" s="5">
        <v>0.28000000000000003</v>
      </c>
      <c r="AO78" s="6">
        <f t="shared" si="21"/>
        <v>0.48785578747628083</v>
      </c>
      <c r="AP78" s="5">
        <f t="shared" si="22"/>
        <v>264</v>
      </c>
      <c r="AQ78" s="8">
        <f t="shared" si="16"/>
        <v>0.81230769230769229</v>
      </c>
      <c r="AR78" s="6">
        <f t="shared" si="23"/>
        <v>0.5379506641366224</v>
      </c>
      <c r="AS78" s="6">
        <f t="shared" si="24"/>
        <v>0.89400609549610566</v>
      </c>
      <c r="AT78" s="6">
        <f t="shared" si="27"/>
        <v>6.844261929762685E-2</v>
      </c>
      <c r="AU78" s="6">
        <f t="shared" si="26"/>
        <v>0.16930500296283771</v>
      </c>
      <c r="AV78" s="5">
        <f t="shared" si="17"/>
        <v>0</v>
      </c>
      <c r="AW78" s="5">
        <f t="shared" si="18"/>
        <v>5</v>
      </c>
      <c r="AX78" s="5">
        <f t="shared" si="19"/>
        <v>0</v>
      </c>
      <c r="AY78" s="5">
        <f t="shared" si="20"/>
        <v>0</v>
      </c>
      <c r="AZ78" s="5">
        <f t="shared" si="25"/>
        <v>0</v>
      </c>
    </row>
    <row r="79" spans="1:52" x14ac:dyDescent="0.3">
      <c r="A79" s="5" t="s">
        <v>52</v>
      </c>
      <c r="B79" s="5" t="s">
        <v>56</v>
      </c>
      <c r="C79" s="5" t="s">
        <v>54</v>
      </c>
      <c r="D79" s="5" t="s">
        <v>56</v>
      </c>
      <c r="E79" s="5" t="s">
        <v>55</v>
      </c>
      <c r="F79" s="5">
        <v>2</v>
      </c>
      <c r="G79" s="5">
        <v>0.04</v>
      </c>
      <c r="H79" s="5" t="b">
        <v>0</v>
      </c>
      <c r="I79" s="5" t="b">
        <v>0</v>
      </c>
      <c r="J79" s="5" t="b">
        <v>0</v>
      </c>
      <c r="K79" s="5">
        <v>2.9529999999999998</v>
      </c>
      <c r="L79" s="5">
        <v>5.1999999999999998E-2</v>
      </c>
      <c r="M79" s="5">
        <v>-5.8000000000000003E-2</v>
      </c>
      <c r="N79" s="5">
        <v>12987.541999999999</v>
      </c>
      <c r="O79" s="5">
        <v>0.20799999999999999</v>
      </c>
      <c r="P79" s="5">
        <v>5.0000000000000001E-3</v>
      </c>
      <c r="Q79" s="6">
        <v>1E-3</v>
      </c>
      <c r="R79" s="6">
        <v>0.18</v>
      </c>
      <c r="S79" s="7">
        <v>1003.01</v>
      </c>
      <c r="T79" s="5">
        <v>1838.375</v>
      </c>
      <c r="U79" s="5">
        <v>1.48</v>
      </c>
      <c r="V79" s="5">
        <v>2.2029999999999998</v>
      </c>
      <c r="W79" s="5">
        <v>2.7109999999999999</v>
      </c>
      <c r="X79" s="5">
        <v>3.7250000000000001</v>
      </c>
      <c r="Y79" s="5">
        <v>10.122</v>
      </c>
      <c r="Z79" s="5">
        <v>2606</v>
      </c>
      <c r="AA79" s="5">
        <v>5270</v>
      </c>
      <c r="AB79" s="5">
        <v>2871</v>
      </c>
      <c r="AC79" s="5">
        <v>0.06</v>
      </c>
      <c r="AD79" s="5">
        <v>1</v>
      </c>
      <c r="AE79" s="5">
        <v>0</v>
      </c>
      <c r="AF79" s="5">
        <v>0</v>
      </c>
      <c r="AG79" s="5">
        <v>1</v>
      </c>
      <c r="AH79" s="5">
        <v>2.88</v>
      </c>
      <c r="AI79" s="5">
        <v>2.8763700000000001</v>
      </c>
      <c r="AJ79" s="5">
        <v>3.0000000000000001E-5</v>
      </c>
      <c r="AK79" s="5">
        <v>2.5000000000000001E-4</v>
      </c>
      <c r="AL79" s="5">
        <v>0</v>
      </c>
      <c r="AM79" s="5">
        <v>0</v>
      </c>
      <c r="AN79" s="5">
        <v>0.27700000000000002</v>
      </c>
      <c r="AO79" s="6">
        <f t="shared" si="21"/>
        <v>0.49449715370018976</v>
      </c>
      <c r="AP79" s="5">
        <f t="shared" si="22"/>
        <v>265</v>
      </c>
      <c r="AQ79" s="8">
        <f t="shared" si="16"/>
        <v>0.81538461538461537</v>
      </c>
      <c r="AR79" s="6">
        <f t="shared" si="23"/>
        <v>0.54478178368121444</v>
      </c>
      <c r="AS79" s="6">
        <f t="shared" si="24"/>
        <v>0.89739248222146961</v>
      </c>
      <c r="AT79" s="6">
        <f t="shared" si="27"/>
        <v>6.6344571728718799E-2</v>
      </c>
      <c r="AU79" s="6">
        <f t="shared" si="26"/>
        <v>8.1973932289532231E-2</v>
      </c>
      <c r="AV79" s="5">
        <f t="shared" si="17"/>
        <v>0</v>
      </c>
      <c r="AW79" s="5">
        <f t="shared" si="18"/>
        <v>5</v>
      </c>
      <c r="AX79" s="5">
        <f t="shared" si="19"/>
        <v>0</v>
      </c>
      <c r="AY79" s="5">
        <f t="shared" si="20"/>
        <v>0</v>
      </c>
      <c r="AZ79" s="5">
        <f t="shared" si="25"/>
        <v>0</v>
      </c>
    </row>
    <row r="80" spans="1:52" x14ac:dyDescent="0.3">
      <c r="A80" s="5" t="s">
        <v>52</v>
      </c>
      <c r="B80" s="5" t="s">
        <v>56</v>
      </c>
      <c r="C80" s="5" t="s">
        <v>54</v>
      </c>
      <c r="D80" s="5" t="s">
        <v>56</v>
      </c>
      <c r="E80" s="5" t="s">
        <v>55</v>
      </c>
      <c r="F80" s="5">
        <v>2</v>
      </c>
      <c r="G80" s="5">
        <v>0.04</v>
      </c>
      <c r="H80" s="5" t="b">
        <v>0</v>
      </c>
      <c r="I80" s="5" t="b">
        <v>0</v>
      </c>
      <c r="J80" s="5" t="b">
        <v>0</v>
      </c>
      <c r="K80" s="5">
        <v>2.9529999999999998</v>
      </c>
      <c r="L80" s="5">
        <v>5.1999999999999998E-2</v>
      </c>
      <c r="M80" s="5">
        <v>-5.8000000000000003E-2</v>
      </c>
      <c r="N80" s="5">
        <v>16608.826000000001</v>
      </c>
      <c r="O80" s="5">
        <v>0.16</v>
      </c>
      <c r="P80" s="5">
        <v>5.0000000000000001E-3</v>
      </c>
      <c r="Q80" s="6">
        <v>1E-3</v>
      </c>
      <c r="R80" s="6">
        <v>0.18</v>
      </c>
      <c r="S80" s="7">
        <v>1015.77</v>
      </c>
      <c r="T80" s="5">
        <v>1838.375</v>
      </c>
      <c r="U80" s="5">
        <v>1.508</v>
      </c>
      <c r="V80" s="5">
        <v>2.2759999999999998</v>
      </c>
      <c r="W80" s="5">
        <v>1.4119999999999999</v>
      </c>
      <c r="X80" s="5">
        <v>3.6240000000000001</v>
      </c>
      <c r="Y80" s="5">
        <v>8.8230000000000004</v>
      </c>
      <c r="Z80" s="5">
        <v>2643</v>
      </c>
      <c r="AA80" s="5">
        <v>5270</v>
      </c>
      <c r="AB80" s="5">
        <v>2908</v>
      </c>
      <c r="AC80" s="5">
        <v>0.06</v>
      </c>
      <c r="AD80" s="5">
        <v>1</v>
      </c>
      <c r="AE80" s="5">
        <v>0</v>
      </c>
      <c r="AF80" s="5">
        <v>0</v>
      </c>
      <c r="AG80" s="5">
        <v>1</v>
      </c>
      <c r="AH80" s="5">
        <v>2.84</v>
      </c>
      <c r="AI80" s="5">
        <v>2.8706100000000001</v>
      </c>
      <c r="AJ80" s="5">
        <v>-4.4999999999999999E-4</v>
      </c>
      <c r="AK80" s="5">
        <v>-1.6000000000000001E-4</v>
      </c>
      <c r="AL80" s="5">
        <v>0</v>
      </c>
      <c r="AM80" s="5">
        <v>0</v>
      </c>
      <c r="AN80" s="5">
        <v>0.27700000000000002</v>
      </c>
      <c r="AO80" s="6">
        <f t="shared" si="21"/>
        <v>0.50151802656546485</v>
      </c>
      <c r="AP80" s="5">
        <f t="shared" si="22"/>
        <v>265</v>
      </c>
      <c r="AQ80" s="8">
        <f t="shared" si="16"/>
        <v>0.81538461538461537</v>
      </c>
      <c r="AR80" s="6">
        <f t="shared" si="23"/>
        <v>0.55180265654648952</v>
      </c>
      <c r="AS80" s="6">
        <f t="shared" si="24"/>
        <v>0.89739248222146961</v>
      </c>
      <c r="AT80" s="6">
        <f t="shared" si="27"/>
        <v>8.3591898393085812E-2</v>
      </c>
      <c r="AU80" s="6">
        <f t="shared" si="26"/>
        <v>0</v>
      </c>
      <c r="AV80" s="5">
        <f t="shared" si="17"/>
        <v>0</v>
      </c>
      <c r="AW80" s="5">
        <f t="shared" si="18"/>
        <v>5</v>
      </c>
      <c r="AX80" s="5">
        <f t="shared" si="19"/>
        <v>0</v>
      </c>
      <c r="AY80" s="5">
        <f t="shared" si="20"/>
        <v>0</v>
      </c>
      <c r="AZ80" s="5">
        <f t="shared" si="25"/>
        <v>0</v>
      </c>
    </row>
    <row r="81" spans="1:52" x14ac:dyDescent="0.3">
      <c r="A81" s="5" t="s">
        <v>52</v>
      </c>
      <c r="B81" s="5" t="s">
        <v>56</v>
      </c>
      <c r="C81" s="5" t="s">
        <v>54</v>
      </c>
      <c r="D81" s="5" t="s">
        <v>56</v>
      </c>
      <c r="E81" s="5" t="s">
        <v>55</v>
      </c>
      <c r="F81" s="5">
        <v>2</v>
      </c>
      <c r="G81" s="5">
        <v>0.04</v>
      </c>
      <c r="H81" s="5" t="b">
        <v>0</v>
      </c>
      <c r="I81" s="5" t="b">
        <v>0</v>
      </c>
      <c r="J81" s="5" t="b">
        <v>0</v>
      </c>
      <c r="K81" s="5">
        <v>2.9529999999999998</v>
      </c>
      <c r="L81" s="5">
        <v>5.1999999999999998E-2</v>
      </c>
      <c r="M81" s="5">
        <v>-5.8000000000000003E-2</v>
      </c>
      <c r="N81" s="5">
        <v>-49828.652000000002</v>
      </c>
      <c r="O81" s="5">
        <v>-5.2999999999999999E-2</v>
      </c>
      <c r="P81" s="5">
        <v>5.0000000000000001E-3</v>
      </c>
      <c r="Q81" s="6">
        <v>1E-3</v>
      </c>
      <c r="R81" s="6">
        <v>0.18</v>
      </c>
      <c r="S81" s="7">
        <v>1027.2760000000001</v>
      </c>
      <c r="T81" s="5">
        <v>1838.375</v>
      </c>
      <c r="U81" s="5">
        <v>1.5449999999999999</v>
      </c>
      <c r="V81" s="5">
        <v>2.2770000000000001</v>
      </c>
      <c r="W81" s="5">
        <v>1.403</v>
      </c>
      <c r="X81" s="5">
        <v>3.3889999999999998</v>
      </c>
      <c r="Y81" s="5">
        <v>8.6170000000000009</v>
      </c>
      <c r="Z81" s="5">
        <v>2676</v>
      </c>
      <c r="AA81" s="5">
        <v>5270</v>
      </c>
      <c r="AB81" s="5">
        <v>2942</v>
      </c>
      <c r="AC81" s="5">
        <v>0.06</v>
      </c>
      <c r="AD81" s="5">
        <v>1</v>
      </c>
      <c r="AE81" s="5">
        <v>0</v>
      </c>
      <c r="AF81" s="5">
        <v>0</v>
      </c>
      <c r="AG81" s="5">
        <v>1</v>
      </c>
      <c r="AH81" s="5">
        <v>2.88</v>
      </c>
      <c r="AI81" s="5">
        <v>2.8775499999999998</v>
      </c>
      <c r="AJ81" s="5">
        <v>5.9999999999999995E-4</v>
      </c>
      <c r="AK81" s="5">
        <v>6.9999999999999994E-5</v>
      </c>
      <c r="AL81" s="5">
        <v>0</v>
      </c>
      <c r="AM81" s="5">
        <v>0</v>
      </c>
      <c r="AN81" s="5">
        <v>0.27700000000000002</v>
      </c>
      <c r="AO81" s="6">
        <f t="shared" si="21"/>
        <v>0.50777988614800762</v>
      </c>
      <c r="AP81" s="5">
        <f t="shared" si="22"/>
        <v>266</v>
      </c>
      <c r="AQ81" s="8">
        <f t="shared" si="16"/>
        <v>0.81846153846153846</v>
      </c>
      <c r="AR81" s="6">
        <f t="shared" si="23"/>
        <v>0.55825426944971535</v>
      </c>
      <c r="AS81" s="6">
        <f t="shared" si="24"/>
        <v>0.90077886894683368</v>
      </c>
      <c r="AT81" s="6">
        <f t="shared" si="27"/>
        <v>6.7638022405940565E-2</v>
      </c>
      <c r="AU81" s="6">
        <f t="shared" si="26"/>
        <v>8.6911176777332913E-2</v>
      </c>
      <c r="AV81" s="5">
        <f t="shared" si="17"/>
        <v>0</v>
      </c>
      <c r="AW81" s="5">
        <f t="shared" si="18"/>
        <v>5</v>
      </c>
      <c r="AX81" s="5">
        <f t="shared" si="19"/>
        <v>0</v>
      </c>
      <c r="AY81" s="5">
        <f t="shared" si="20"/>
        <v>0</v>
      </c>
      <c r="AZ81" s="5">
        <f t="shared" si="25"/>
        <v>0</v>
      </c>
    </row>
    <row r="82" spans="1:52" x14ac:dyDescent="0.3">
      <c r="A82" s="5" t="s">
        <v>52</v>
      </c>
      <c r="B82" s="5" t="s">
        <v>56</v>
      </c>
      <c r="C82" s="5" t="s">
        <v>54</v>
      </c>
      <c r="D82" s="5" t="s">
        <v>56</v>
      </c>
      <c r="E82" s="5" t="s">
        <v>55</v>
      </c>
      <c r="F82" s="5">
        <v>2</v>
      </c>
      <c r="G82" s="5">
        <v>0.04</v>
      </c>
      <c r="H82" s="5" t="b">
        <v>0</v>
      </c>
      <c r="I82" s="5" t="b">
        <v>0</v>
      </c>
      <c r="J82" s="5" t="b">
        <v>0</v>
      </c>
      <c r="K82" s="5">
        <v>2.9529999999999998</v>
      </c>
      <c r="L82" s="5">
        <v>5.1999999999999998E-2</v>
      </c>
      <c r="M82" s="5">
        <v>-5.8000000000000003E-2</v>
      </c>
      <c r="N82" s="5">
        <v>-29939.439999999999</v>
      </c>
      <c r="O82" s="5">
        <v>-8.6999999999999994E-2</v>
      </c>
      <c r="P82" s="5">
        <v>5.0000000000000001E-3</v>
      </c>
      <c r="Q82" s="6">
        <v>1E-3</v>
      </c>
      <c r="R82" s="6">
        <v>0.18</v>
      </c>
      <c r="S82" s="7">
        <v>1039.039</v>
      </c>
      <c r="T82" s="5">
        <v>1838.375</v>
      </c>
      <c r="U82" s="5">
        <v>1.611</v>
      </c>
      <c r="V82" s="5">
        <v>2.181</v>
      </c>
      <c r="W82" s="5">
        <v>1.5760000000000001</v>
      </c>
      <c r="X82" s="5">
        <v>3.556</v>
      </c>
      <c r="Y82" s="5">
        <v>8.9290000000000003</v>
      </c>
      <c r="Z82" s="5">
        <v>2710</v>
      </c>
      <c r="AA82" s="5">
        <v>5270</v>
      </c>
      <c r="AB82" s="5">
        <v>2976</v>
      </c>
      <c r="AC82" s="5">
        <v>0.06</v>
      </c>
      <c r="AD82" s="5">
        <v>1</v>
      </c>
      <c r="AE82" s="5">
        <v>0</v>
      </c>
      <c r="AF82" s="5">
        <v>0</v>
      </c>
      <c r="AG82" s="5">
        <v>1</v>
      </c>
      <c r="AH82" s="5">
        <v>2.88</v>
      </c>
      <c r="AI82" s="5">
        <v>2.8813499999999999</v>
      </c>
      <c r="AJ82" s="5">
        <v>3.2000000000000003E-4</v>
      </c>
      <c r="AK82" s="5">
        <v>1.6000000000000001E-4</v>
      </c>
      <c r="AL82" s="5">
        <v>0</v>
      </c>
      <c r="AM82" s="5">
        <v>0</v>
      </c>
      <c r="AN82" s="5">
        <v>0.27700000000000002</v>
      </c>
      <c r="AO82" s="6">
        <f t="shared" si="21"/>
        <v>0.51423149905123344</v>
      </c>
      <c r="AP82" s="5">
        <f t="shared" si="22"/>
        <v>266</v>
      </c>
      <c r="AQ82" s="8">
        <f t="shared" si="16"/>
        <v>0.81846153846153846</v>
      </c>
      <c r="AR82" s="6">
        <f t="shared" si="23"/>
        <v>0.56470588235294117</v>
      </c>
      <c r="AS82" s="6">
        <f t="shared" si="24"/>
        <v>0.90077886894683368</v>
      </c>
      <c r="AT82" s="6">
        <f t="shared" si="27"/>
        <v>6.7638022405940565E-2</v>
      </c>
      <c r="AU82" s="6">
        <f t="shared" si="26"/>
        <v>0</v>
      </c>
      <c r="AV82" s="5">
        <f t="shared" si="17"/>
        <v>0</v>
      </c>
      <c r="AW82" s="5">
        <f t="shared" si="18"/>
        <v>5</v>
      </c>
      <c r="AX82" s="5">
        <f t="shared" si="19"/>
        <v>0</v>
      </c>
      <c r="AY82" s="5">
        <f t="shared" si="20"/>
        <v>0</v>
      </c>
      <c r="AZ82" s="5">
        <f t="shared" si="25"/>
        <v>0</v>
      </c>
    </row>
    <row r="83" spans="1:52" x14ac:dyDescent="0.3">
      <c r="A83" s="5" t="s">
        <v>52</v>
      </c>
      <c r="B83" s="5" t="s">
        <v>56</v>
      </c>
      <c r="C83" s="5" t="s">
        <v>54</v>
      </c>
      <c r="D83" s="5" t="s">
        <v>56</v>
      </c>
      <c r="E83" s="5" t="s">
        <v>55</v>
      </c>
      <c r="F83" s="5">
        <v>2</v>
      </c>
      <c r="G83" s="5">
        <v>0.04</v>
      </c>
      <c r="H83" s="5" t="b">
        <v>0</v>
      </c>
      <c r="I83" s="5" t="b">
        <v>0</v>
      </c>
      <c r="J83" s="5" t="b">
        <v>0</v>
      </c>
      <c r="K83" s="5">
        <v>2.9529999999999998</v>
      </c>
      <c r="L83" s="5">
        <v>5.1999999999999998E-2</v>
      </c>
      <c r="M83" s="5">
        <v>-5.8000000000000003E-2</v>
      </c>
      <c r="N83" s="5">
        <v>29879.043000000001</v>
      </c>
      <c r="O83" s="5">
        <v>8.5999999999999993E-2</v>
      </c>
      <c r="P83" s="5">
        <v>5.0000000000000001E-3</v>
      </c>
      <c r="Q83" s="6">
        <v>1E-3</v>
      </c>
      <c r="R83" s="6">
        <v>0.18</v>
      </c>
      <c r="S83" s="7">
        <v>1050.6949999999999</v>
      </c>
      <c r="T83" s="5">
        <v>1838.375</v>
      </c>
      <c r="U83" s="5">
        <v>1.649</v>
      </c>
      <c r="V83" s="5">
        <v>2.2410000000000001</v>
      </c>
      <c r="W83" s="5">
        <v>1.3759999999999999</v>
      </c>
      <c r="X83" s="5">
        <v>3.6110000000000002</v>
      </c>
      <c r="Y83" s="5">
        <v>8.8789999999999996</v>
      </c>
      <c r="Z83" s="5">
        <v>2743</v>
      </c>
      <c r="AA83" s="5">
        <v>5270</v>
      </c>
      <c r="AB83" s="5">
        <v>3011</v>
      </c>
      <c r="AC83" s="5">
        <v>0.06</v>
      </c>
      <c r="AD83" s="5">
        <v>1</v>
      </c>
      <c r="AE83" s="5">
        <v>0</v>
      </c>
      <c r="AF83" s="5">
        <v>0</v>
      </c>
      <c r="AG83" s="5">
        <v>1</v>
      </c>
      <c r="AH83" s="5">
        <v>2.86</v>
      </c>
      <c r="AI83" s="5">
        <v>2.8722099999999999</v>
      </c>
      <c r="AJ83" s="5">
        <v>-7.7999999999999999E-4</v>
      </c>
      <c r="AK83" s="5">
        <v>-6.0000000000000002E-5</v>
      </c>
      <c r="AL83" s="5">
        <v>0</v>
      </c>
      <c r="AM83" s="5">
        <v>0</v>
      </c>
      <c r="AN83" s="5">
        <v>0.27300000000000002</v>
      </c>
      <c r="AO83" s="6">
        <f t="shared" si="21"/>
        <v>0.5204933586337761</v>
      </c>
      <c r="AP83" s="5">
        <f t="shared" si="22"/>
        <v>268</v>
      </c>
      <c r="AQ83" s="8">
        <f t="shared" si="16"/>
        <v>0.82461538461538464</v>
      </c>
      <c r="AR83" s="6">
        <f t="shared" si="23"/>
        <v>0.57134724857685004</v>
      </c>
      <c r="AS83" s="6">
        <f t="shared" si="24"/>
        <v>0.90755164239756181</v>
      </c>
      <c r="AT83" s="6">
        <f t="shared" si="27"/>
        <v>6.809411172414874E-2</v>
      </c>
      <c r="AU83" s="6">
        <f t="shared" si="26"/>
        <v>0.17158544955387858</v>
      </c>
      <c r="AV83" s="5">
        <f t="shared" si="17"/>
        <v>0</v>
      </c>
      <c r="AW83" s="5">
        <f t="shared" si="18"/>
        <v>5</v>
      </c>
      <c r="AX83" s="5">
        <f t="shared" si="19"/>
        <v>0</v>
      </c>
      <c r="AY83" s="5">
        <f t="shared" si="20"/>
        <v>0</v>
      </c>
      <c r="AZ83" s="5">
        <f t="shared" si="25"/>
        <v>0</v>
      </c>
    </row>
    <row r="84" spans="1:52" x14ac:dyDescent="0.3">
      <c r="A84" s="5" t="s">
        <v>52</v>
      </c>
      <c r="B84" s="5" t="s">
        <v>56</v>
      </c>
      <c r="C84" s="5" t="s">
        <v>54</v>
      </c>
      <c r="D84" s="5" t="s">
        <v>56</v>
      </c>
      <c r="E84" s="5" t="s">
        <v>55</v>
      </c>
      <c r="F84" s="5">
        <v>2</v>
      </c>
      <c r="G84" s="5">
        <v>0.04</v>
      </c>
      <c r="H84" s="5" t="b">
        <v>0</v>
      </c>
      <c r="I84" s="5" t="b">
        <v>0</v>
      </c>
      <c r="J84" s="5" t="b">
        <v>0</v>
      </c>
      <c r="K84" s="5">
        <v>2.9529999999999998</v>
      </c>
      <c r="L84" s="5">
        <v>5.1999999999999998E-2</v>
      </c>
      <c r="M84" s="5">
        <v>-5.8000000000000003E-2</v>
      </c>
      <c r="N84" s="5">
        <v>29901.007000000001</v>
      </c>
      <c r="O84" s="5">
        <v>8.5000000000000006E-2</v>
      </c>
      <c r="P84" s="5">
        <v>5.0000000000000001E-3</v>
      </c>
      <c r="Q84" s="6">
        <v>1E-3</v>
      </c>
      <c r="R84" s="6">
        <v>0.18</v>
      </c>
      <c r="S84" s="7">
        <v>1062.7280000000001</v>
      </c>
      <c r="T84" s="5">
        <v>1838.375</v>
      </c>
      <c r="U84" s="5">
        <v>1.732</v>
      </c>
      <c r="V84" s="5">
        <v>2.1459999999999999</v>
      </c>
      <c r="W84" s="5">
        <v>1.482</v>
      </c>
      <c r="X84" s="5">
        <v>3.645</v>
      </c>
      <c r="Y84" s="5">
        <v>9.0090000000000003</v>
      </c>
      <c r="Z84" s="5">
        <v>2778</v>
      </c>
      <c r="AA84" s="5">
        <v>5270</v>
      </c>
      <c r="AB84" s="5">
        <v>3045</v>
      </c>
      <c r="AC84" s="5">
        <v>0.06</v>
      </c>
      <c r="AD84" s="5">
        <v>1</v>
      </c>
      <c r="AE84" s="5">
        <v>0</v>
      </c>
      <c r="AF84" s="5">
        <v>0</v>
      </c>
      <c r="AG84" s="5">
        <v>1</v>
      </c>
      <c r="AH84" s="5">
        <v>2.86</v>
      </c>
      <c r="AI84" s="5">
        <v>2.8801800000000002</v>
      </c>
      <c r="AJ84" s="5">
        <v>6.6E-4</v>
      </c>
      <c r="AK84" s="5">
        <v>6.0000000000000002E-5</v>
      </c>
      <c r="AL84" s="5">
        <v>0</v>
      </c>
      <c r="AM84" s="5">
        <v>0</v>
      </c>
      <c r="AN84" s="5">
        <v>0.27700000000000002</v>
      </c>
      <c r="AO84" s="6">
        <f t="shared" si="21"/>
        <v>0.52713472485768498</v>
      </c>
      <c r="AP84" s="5">
        <f t="shared" si="22"/>
        <v>267</v>
      </c>
      <c r="AQ84" s="8">
        <f t="shared" si="16"/>
        <v>0.82153846153846155</v>
      </c>
      <c r="AR84" s="6">
        <f t="shared" si="23"/>
        <v>0.57779886148007586</v>
      </c>
      <c r="AS84" s="6">
        <f t="shared" si="24"/>
        <v>0.90416525567219774</v>
      </c>
      <c r="AT84" s="6">
        <f t="shared" si="27"/>
        <v>3.5078366236906487E-2</v>
      </c>
      <c r="AU84" s="6">
        <f t="shared" si="26"/>
        <v>-8.3104795146679067E-2</v>
      </c>
      <c r="AV84" s="5">
        <f t="shared" si="17"/>
        <v>0</v>
      </c>
      <c r="AW84" s="5">
        <f t="shared" si="18"/>
        <v>5</v>
      </c>
      <c r="AX84" s="5">
        <f t="shared" si="19"/>
        <v>0</v>
      </c>
      <c r="AY84" s="5">
        <f t="shared" si="20"/>
        <v>0</v>
      </c>
      <c r="AZ84" s="5">
        <f t="shared" si="25"/>
        <v>0</v>
      </c>
    </row>
    <row r="85" spans="1:52" x14ac:dyDescent="0.3">
      <c r="A85" s="5" t="s">
        <v>59</v>
      </c>
      <c r="B85" s="5" t="s">
        <v>56</v>
      </c>
      <c r="C85" s="5" t="s">
        <v>54</v>
      </c>
      <c r="D85" s="5" t="s">
        <v>56</v>
      </c>
      <c r="E85" s="5" t="s">
        <v>55</v>
      </c>
      <c r="F85" s="5">
        <v>2</v>
      </c>
      <c r="G85" s="5">
        <v>0.04</v>
      </c>
      <c r="H85" s="5" t="b">
        <v>0</v>
      </c>
      <c r="I85" s="5" t="b">
        <v>0</v>
      </c>
      <c r="J85" s="5" t="b">
        <v>0</v>
      </c>
      <c r="K85" s="5">
        <v>2.9529999999999998</v>
      </c>
      <c r="L85" s="5">
        <v>5.1999999999999998E-2</v>
      </c>
      <c r="M85" s="5">
        <v>-5.8000000000000003E-2</v>
      </c>
      <c r="N85" s="5">
        <v>29603.062999999998</v>
      </c>
      <c r="O85" s="5">
        <v>8.4000000000000005E-2</v>
      </c>
      <c r="P85" s="5">
        <v>5.0000000000000001E-3</v>
      </c>
      <c r="Q85" s="6">
        <v>1E-3</v>
      </c>
      <c r="R85" s="6">
        <v>0.18</v>
      </c>
      <c r="S85" s="7">
        <v>1074.258</v>
      </c>
      <c r="T85" s="5">
        <v>1838.375</v>
      </c>
      <c r="U85" s="5">
        <v>1.427</v>
      </c>
      <c r="V85" s="5">
        <v>2.2269999999999999</v>
      </c>
      <c r="W85" s="5">
        <v>1.4470000000000001</v>
      </c>
      <c r="X85" s="5">
        <v>3.528</v>
      </c>
      <c r="Y85" s="5">
        <v>8.6319999999999997</v>
      </c>
      <c r="Z85" s="5">
        <v>2811</v>
      </c>
      <c r="AA85" s="5">
        <v>5270</v>
      </c>
      <c r="AB85" s="5">
        <v>3081</v>
      </c>
      <c r="AC85" s="5">
        <v>0.06</v>
      </c>
      <c r="AD85" s="5">
        <v>1</v>
      </c>
      <c r="AE85" s="5">
        <v>0</v>
      </c>
      <c r="AF85" s="5">
        <v>0</v>
      </c>
      <c r="AG85" s="5">
        <v>1</v>
      </c>
      <c r="AH85" s="5">
        <v>2.86</v>
      </c>
      <c r="AI85" s="5">
        <v>2.87236</v>
      </c>
      <c r="AJ85" s="5">
        <v>-6.8000000000000005E-4</v>
      </c>
      <c r="AK85" s="5">
        <v>3.0000000000000001E-5</v>
      </c>
      <c r="AL85" s="5">
        <v>0</v>
      </c>
      <c r="AM85" s="5">
        <v>0</v>
      </c>
      <c r="AN85" s="5">
        <v>0.27700000000000002</v>
      </c>
      <c r="AO85" s="6">
        <f t="shared" si="21"/>
        <v>0.53339658444022775</v>
      </c>
      <c r="AP85" s="5">
        <f t="shared" si="22"/>
        <v>270</v>
      </c>
      <c r="AQ85" s="8">
        <f t="shared" si="16"/>
        <v>0.83076923076923082</v>
      </c>
      <c r="AR85" s="6">
        <f t="shared" si="23"/>
        <v>0.5846299810246679</v>
      </c>
      <c r="AS85" s="6">
        <f t="shared" si="24"/>
        <v>0.91432441584828983</v>
      </c>
      <c r="AT85" s="6">
        <f t="shared" si="27"/>
        <v>8.7116527555206699E-2</v>
      </c>
      <c r="AU85" s="6">
        <f t="shared" si="26"/>
        <v>0.26019080659150107</v>
      </c>
      <c r="AV85" s="5">
        <f t="shared" si="17"/>
        <v>0</v>
      </c>
      <c r="AW85" s="5">
        <f t="shared" si="18"/>
        <v>5</v>
      </c>
      <c r="AX85" s="5">
        <f t="shared" si="19"/>
        <v>0</v>
      </c>
      <c r="AY85" s="5">
        <f t="shared" si="20"/>
        <v>0</v>
      </c>
      <c r="AZ85" s="5">
        <f t="shared" si="25"/>
        <v>0</v>
      </c>
    </row>
    <row r="86" spans="1:52" x14ac:dyDescent="0.3">
      <c r="A86" s="5" t="s">
        <v>52</v>
      </c>
      <c r="B86" s="5" t="s">
        <v>56</v>
      </c>
      <c r="C86" s="5" t="s">
        <v>54</v>
      </c>
      <c r="D86" s="5" t="s">
        <v>56</v>
      </c>
      <c r="E86" s="5" t="s">
        <v>55</v>
      </c>
      <c r="F86" s="5">
        <v>2</v>
      </c>
      <c r="G86" s="5">
        <v>0.04</v>
      </c>
      <c r="H86" s="5" t="b">
        <v>0</v>
      </c>
      <c r="I86" s="5" t="b">
        <v>0</v>
      </c>
      <c r="J86" s="5" t="b">
        <v>0</v>
      </c>
      <c r="K86" s="5">
        <v>2.9529999999999998</v>
      </c>
      <c r="L86" s="5">
        <v>5.1999999999999998E-2</v>
      </c>
      <c r="M86" s="5">
        <v>-5.8000000000000003E-2</v>
      </c>
      <c r="N86" s="5">
        <v>59833.828999999998</v>
      </c>
      <c r="O86" s="5">
        <v>4.1000000000000002E-2</v>
      </c>
      <c r="P86" s="5">
        <v>5.0000000000000001E-3</v>
      </c>
      <c r="Q86" s="6">
        <v>1E-3</v>
      </c>
      <c r="R86" s="6">
        <v>0.18</v>
      </c>
      <c r="S86" s="7">
        <v>1085.588</v>
      </c>
      <c r="T86" s="5">
        <v>1838.375</v>
      </c>
      <c r="U86" s="5">
        <v>1.5189999999999999</v>
      </c>
      <c r="V86" s="5">
        <v>2.14</v>
      </c>
      <c r="W86" s="5">
        <v>1.7569999999999999</v>
      </c>
      <c r="X86" s="5">
        <v>3.6030000000000002</v>
      </c>
      <c r="Y86" s="5">
        <v>9.0229999999999997</v>
      </c>
      <c r="Z86" s="5">
        <v>2843</v>
      </c>
      <c r="AA86" s="5">
        <v>5270</v>
      </c>
      <c r="AB86" s="5">
        <v>3114</v>
      </c>
      <c r="AC86" s="5">
        <v>0.06</v>
      </c>
      <c r="AD86" s="5">
        <v>1</v>
      </c>
      <c r="AE86" s="5">
        <v>0</v>
      </c>
      <c r="AF86" s="5">
        <v>0</v>
      </c>
      <c r="AG86" s="5">
        <v>1</v>
      </c>
      <c r="AH86" s="5">
        <v>2.86</v>
      </c>
      <c r="AI86" s="5">
        <v>2.86389</v>
      </c>
      <c r="AJ86" s="5">
        <v>-7.5000000000000002E-4</v>
      </c>
      <c r="AK86" s="5">
        <v>-2.3000000000000001E-4</v>
      </c>
      <c r="AL86" s="5">
        <v>0</v>
      </c>
      <c r="AM86" s="5">
        <v>0</v>
      </c>
      <c r="AN86" s="5">
        <v>0.27300000000000002</v>
      </c>
      <c r="AO86" s="6">
        <f t="shared" si="21"/>
        <v>0.53946869070208725</v>
      </c>
      <c r="AP86" s="5">
        <f t="shared" si="22"/>
        <v>271</v>
      </c>
      <c r="AQ86" s="8">
        <f t="shared" si="16"/>
        <v>0.83384615384615379</v>
      </c>
      <c r="AR86" s="6">
        <f t="shared" si="23"/>
        <v>0.59089184060721067</v>
      </c>
      <c r="AS86" s="6">
        <f t="shared" si="24"/>
        <v>0.91771080257365389</v>
      </c>
      <c r="AT86" s="6">
        <f t="shared" si="27"/>
        <v>8.738654286169964E-2</v>
      </c>
      <c r="AU86" s="6">
        <f t="shared" si="26"/>
        <v>8.826125330979756E-2</v>
      </c>
      <c r="AV86" s="5">
        <f t="shared" si="17"/>
        <v>0</v>
      </c>
      <c r="AW86" s="5">
        <f t="shared" si="18"/>
        <v>5</v>
      </c>
      <c r="AX86" s="5">
        <f t="shared" si="19"/>
        <v>0</v>
      </c>
      <c r="AY86" s="5">
        <f t="shared" si="20"/>
        <v>0</v>
      </c>
      <c r="AZ86" s="5">
        <f t="shared" si="25"/>
        <v>0</v>
      </c>
    </row>
    <row r="87" spans="1:52" x14ac:dyDescent="0.3">
      <c r="A87" s="5" t="s">
        <v>52</v>
      </c>
      <c r="B87" s="5" t="s">
        <v>56</v>
      </c>
      <c r="C87" s="5" t="s">
        <v>54</v>
      </c>
      <c r="D87" s="5" t="s">
        <v>56</v>
      </c>
      <c r="E87" s="5" t="s">
        <v>55</v>
      </c>
      <c r="F87" s="5">
        <v>2</v>
      </c>
      <c r="G87" s="5">
        <v>0.04</v>
      </c>
      <c r="H87" s="5" t="b">
        <v>0</v>
      </c>
      <c r="I87" s="5" t="b">
        <v>0</v>
      </c>
      <c r="J87" s="5" t="b">
        <v>0</v>
      </c>
      <c r="K87" s="5">
        <v>2.9529999999999998</v>
      </c>
      <c r="L87" s="5">
        <v>5.1999999999999998E-2</v>
      </c>
      <c r="M87" s="5">
        <v>-5.8000000000000003E-2</v>
      </c>
      <c r="N87" s="5">
        <v>18963.03</v>
      </c>
      <c r="O87" s="5">
        <v>0.128</v>
      </c>
      <c r="P87" s="5">
        <v>5.0000000000000001E-3</v>
      </c>
      <c r="Q87" s="6">
        <v>1E-3</v>
      </c>
      <c r="R87" s="6">
        <v>0.18</v>
      </c>
      <c r="S87" s="7">
        <v>1097.3499999999999</v>
      </c>
      <c r="T87" s="5">
        <v>1838.375</v>
      </c>
      <c r="U87" s="5">
        <v>1.571</v>
      </c>
      <c r="V87" s="5">
        <v>2.5169999999999999</v>
      </c>
      <c r="W87" s="5">
        <v>1.554</v>
      </c>
      <c r="X87" s="5">
        <v>3.4980000000000002</v>
      </c>
      <c r="Y87" s="5">
        <v>9.1430000000000007</v>
      </c>
      <c r="Z87" s="5">
        <v>2877</v>
      </c>
      <c r="AA87" s="5">
        <v>5270</v>
      </c>
      <c r="AB87" s="5">
        <v>3149</v>
      </c>
      <c r="AC87" s="5">
        <v>0.06</v>
      </c>
      <c r="AD87" s="5">
        <v>1</v>
      </c>
      <c r="AE87" s="5">
        <v>0</v>
      </c>
      <c r="AF87" s="5">
        <v>0</v>
      </c>
      <c r="AG87" s="5">
        <v>1</v>
      </c>
      <c r="AH87" s="5">
        <v>2.88</v>
      </c>
      <c r="AI87" s="5">
        <v>2.8639700000000001</v>
      </c>
      <c r="AJ87" s="5">
        <v>1.0000000000000001E-5</v>
      </c>
      <c r="AK87" s="5">
        <v>-2.9999999999999997E-4</v>
      </c>
      <c r="AL87" s="5">
        <v>0</v>
      </c>
      <c r="AM87" s="5">
        <v>0</v>
      </c>
      <c r="AN87" s="5">
        <v>0.27300000000000002</v>
      </c>
      <c r="AO87" s="6">
        <f t="shared" si="21"/>
        <v>0.54592030360531307</v>
      </c>
      <c r="AP87" s="5">
        <f t="shared" si="22"/>
        <v>272</v>
      </c>
      <c r="AQ87" s="8">
        <f t="shared" si="16"/>
        <v>0.83692307692307688</v>
      </c>
      <c r="AR87" s="6">
        <f t="shared" si="23"/>
        <v>0.59753320683111955</v>
      </c>
      <c r="AS87" s="6">
        <f t="shared" si="24"/>
        <v>0.92109718929901796</v>
      </c>
      <c r="AT87" s="6">
        <f t="shared" si="27"/>
        <v>0.10439045376120659</v>
      </c>
      <c r="AU87" s="6">
        <f t="shared" si="26"/>
        <v>8.5019554497534844E-2</v>
      </c>
      <c r="AV87" s="5">
        <f t="shared" si="17"/>
        <v>0</v>
      </c>
      <c r="AW87" s="5">
        <f t="shared" si="18"/>
        <v>5</v>
      </c>
      <c r="AX87" s="5">
        <f t="shared" si="19"/>
        <v>0</v>
      </c>
      <c r="AY87" s="5">
        <f t="shared" si="20"/>
        <v>0</v>
      </c>
      <c r="AZ87" s="5">
        <f t="shared" si="25"/>
        <v>0</v>
      </c>
    </row>
    <row r="88" spans="1:52" x14ac:dyDescent="0.3">
      <c r="A88" s="5" t="s">
        <v>52</v>
      </c>
      <c r="B88" s="5" t="s">
        <v>56</v>
      </c>
      <c r="C88" s="5" t="s">
        <v>54</v>
      </c>
      <c r="D88" s="5" t="s">
        <v>56</v>
      </c>
      <c r="E88" s="5" t="s">
        <v>55</v>
      </c>
      <c r="F88" s="5">
        <v>2</v>
      </c>
      <c r="G88" s="5">
        <v>0.04</v>
      </c>
      <c r="H88" s="5" t="b">
        <v>0</v>
      </c>
      <c r="I88" s="5" t="b">
        <v>0</v>
      </c>
      <c r="J88" s="5" t="b">
        <v>0</v>
      </c>
      <c r="K88" s="5">
        <v>2.9529999999999998</v>
      </c>
      <c r="L88" s="5">
        <v>5.1999999999999998E-2</v>
      </c>
      <c r="M88" s="5">
        <v>-5.8000000000000003E-2</v>
      </c>
      <c r="N88" s="5">
        <v>14070.87</v>
      </c>
      <c r="O88" s="5">
        <v>0.17</v>
      </c>
      <c r="P88" s="5">
        <v>5.0000000000000001E-3</v>
      </c>
      <c r="Q88" s="6">
        <v>1E-3</v>
      </c>
      <c r="R88" s="6">
        <v>0.18</v>
      </c>
      <c r="S88" s="7">
        <v>1109.134</v>
      </c>
      <c r="T88" s="5">
        <v>1838.375</v>
      </c>
      <c r="U88" s="5">
        <v>1.6919999999999999</v>
      </c>
      <c r="V88" s="5">
        <v>2.2589999999999999</v>
      </c>
      <c r="W88" s="5">
        <v>1.611</v>
      </c>
      <c r="X88" s="5">
        <v>3.9929999999999999</v>
      </c>
      <c r="Y88" s="5">
        <v>9.5570000000000004</v>
      </c>
      <c r="Z88" s="5">
        <v>2911</v>
      </c>
      <c r="AA88" s="5">
        <v>5270</v>
      </c>
      <c r="AB88" s="5">
        <v>3184</v>
      </c>
      <c r="AC88" s="5">
        <v>0.06</v>
      </c>
      <c r="AD88" s="5">
        <v>1</v>
      </c>
      <c r="AE88" s="5">
        <v>0</v>
      </c>
      <c r="AF88" s="5">
        <v>0</v>
      </c>
      <c r="AG88" s="5">
        <v>1</v>
      </c>
      <c r="AH88" s="5">
        <v>2.9</v>
      </c>
      <c r="AI88" s="5">
        <v>2.8748</v>
      </c>
      <c r="AJ88" s="5">
        <v>9.2000000000000003E-4</v>
      </c>
      <c r="AK88" s="5">
        <v>4.0000000000000003E-5</v>
      </c>
      <c r="AL88" s="5">
        <v>0</v>
      </c>
      <c r="AM88" s="5">
        <v>0</v>
      </c>
      <c r="AN88" s="5">
        <v>0.27700000000000002</v>
      </c>
      <c r="AO88" s="6">
        <f t="shared" si="21"/>
        <v>0.5523719165085389</v>
      </c>
      <c r="AP88" s="5">
        <f t="shared" si="22"/>
        <v>273</v>
      </c>
      <c r="AQ88" s="8">
        <f t="shared" si="16"/>
        <v>0.84</v>
      </c>
      <c r="AR88" s="6">
        <f t="shared" si="23"/>
        <v>0.60417457305502842</v>
      </c>
      <c r="AS88" s="6">
        <f t="shared" si="24"/>
        <v>0.92448357602438191</v>
      </c>
      <c r="AT88" s="6">
        <f t="shared" si="27"/>
        <v>8.7045529498767454E-2</v>
      </c>
      <c r="AU88" s="6">
        <f t="shared" si="26"/>
        <v>8.4860828241682881E-2</v>
      </c>
      <c r="AV88" s="5">
        <f t="shared" si="17"/>
        <v>0</v>
      </c>
      <c r="AW88" s="5">
        <f t="shared" si="18"/>
        <v>5</v>
      </c>
      <c r="AX88" s="5">
        <f t="shared" si="19"/>
        <v>0</v>
      </c>
      <c r="AY88" s="5">
        <f t="shared" si="20"/>
        <v>0</v>
      </c>
      <c r="AZ88" s="5">
        <f t="shared" si="25"/>
        <v>0</v>
      </c>
    </row>
    <row r="89" spans="1:52" x14ac:dyDescent="0.3">
      <c r="A89" s="5" t="s">
        <v>52</v>
      </c>
      <c r="B89" s="5" t="s">
        <v>56</v>
      </c>
      <c r="C89" s="5" t="s">
        <v>54</v>
      </c>
      <c r="D89" s="5" t="s">
        <v>56</v>
      </c>
      <c r="E89" s="5" t="s">
        <v>55</v>
      </c>
      <c r="F89" s="5">
        <v>2</v>
      </c>
      <c r="G89" s="5">
        <v>0.04</v>
      </c>
      <c r="H89" s="5" t="b">
        <v>0</v>
      </c>
      <c r="I89" s="5" t="b">
        <v>0</v>
      </c>
      <c r="J89" s="5" t="b">
        <v>0</v>
      </c>
      <c r="K89" s="5">
        <v>2.9529999999999998</v>
      </c>
      <c r="L89" s="5">
        <v>5.1999999999999998E-2</v>
      </c>
      <c r="M89" s="5">
        <v>-5.8000000000000003E-2</v>
      </c>
      <c r="N89" s="5">
        <v>19014.705999999998</v>
      </c>
      <c r="O89" s="5">
        <v>0.124</v>
      </c>
      <c r="P89" s="5">
        <v>5.0000000000000001E-3</v>
      </c>
      <c r="Q89" s="6">
        <v>1E-3</v>
      </c>
      <c r="R89" s="6">
        <v>0.18</v>
      </c>
      <c r="S89" s="7">
        <v>1121.229</v>
      </c>
      <c r="T89" s="5">
        <v>1838.375</v>
      </c>
      <c r="U89" s="5">
        <v>1.9330000000000001</v>
      </c>
      <c r="V89" s="5">
        <v>2.2160000000000002</v>
      </c>
      <c r="W89" s="5">
        <v>1.3620000000000001</v>
      </c>
      <c r="X89" s="5">
        <v>3.7360000000000002</v>
      </c>
      <c r="Y89" s="5">
        <v>9.25</v>
      </c>
      <c r="Z89" s="5">
        <v>2946</v>
      </c>
      <c r="AA89" s="5">
        <v>5270</v>
      </c>
      <c r="AB89" s="5">
        <v>3220</v>
      </c>
      <c r="AC89" s="5">
        <v>0.06</v>
      </c>
      <c r="AD89" s="5">
        <v>1</v>
      </c>
      <c r="AE89" s="5">
        <v>0</v>
      </c>
      <c r="AF89" s="5">
        <v>0</v>
      </c>
      <c r="AG89" s="5">
        <v>1</v>
      </c>
      <c r="AH89" s="5">
        <v>2.88</v>
      </c>
      <c r="AI89" s="5">
        <v>2.87174</v>
      </c>
      <c r="AJ89" s="5">
        <v>-2.5000000000000001E-4</v>
      </c>
      <c r="AK89" s="5">
        <v>-1.3999999999999999E-4</v>
      </c>
      <c r="AL89" s="5">
        <v>0</v>
      </c>
      <c r="AM89" s="5">
        <v>0</v>
      </c>
      <c r="AN89" s="5">
        <v>0.26900000000000002</v>
      </c>
      <c r="AO89" s="6">
        <f t="shared" si="21"/>
        <v>0.55901328273244777</v>
      </c>
      <c r="AP89" s="5">
        <f t="shared" si="22"/>
        <v>274</v>
      </c>
      <c r="AQ89" s="8">
        <f t="shared" si="16"/>
        <v>0.84307692307692306</v>
      </c>
      <c r="AR89" s="6">
        <f t="shared" si="23"/>
        <v>0.61100569259962045</v>
      </c>
      <c r="AS89" s="6">
        <f t="shared" si="24"/>
        <v>0.92786996274974598</v>
      </c>
      <c r="AT89" s="6">
        <f t="shared" si="27"/>
        <v>0.120202247106028</v>
      </c>
      <c r="AU89" s="6">
        <f t="shared" si="26"/>
        <v>8.2678792889623626E-2</v>
      </c>
      <c r="AV89" s="5">
        <f t="shared" si="17"/>
        <v>0</v>
      </c>
      <c r="AW89" s="5">
        <f t="shared" si="18"/>
        <v>5</v>
      </c>
      <c r="AX89" s="5">
        <f t="shared" si="19"/>
        <v>0</v>
      </c>
      <c r="AY89" s="5">
        <f t="shared" si="20"/>
        <v>0</v>
      </c>
      <c r="AZ89" s="5">
        <f t="shared" si="25"/>
        <v>0</v>
      </c>
    </row>
    <row r="90" spans="1:52" x14ac:dyDescent="0.3">
      <c r="A90" s="5" t="s">
        <v>52</v>
      </c>
      <c r="B90" s="5" t="s">
        <v>56</v>
      </c>
      <c r="C90" s="5" t="s">
        <v>54</v>
      </c>
      <c r="D90" s="5" t="s">
        <v>56</v>
      </c>
      <c r="E90" s="5" t="s">
        <v>55</v>
      </c>
      <c r="F90" s="5">
        <v>2</v>
      </c>
      <c r="G90" s="5">
        <v>0.04</v>
      </c>
      <c r="H90" s="5" t="b">
        <v>0</v>
      </c>
      <c r="I90" s="5" t="b">
        <v>0</v>
      </c>
      <c r="J90" s="5" t="b">
        <v>0</v>
      </c>
      <c r="K90" s="5">
        <v>2.9529999999999998</v>
      </c>
      <c r="L90" s="5">
        <v>5.1999999999999998E-2</v>
      </c>
      <c r="M90" s="5">
        <v>-5.8000000000000003E-2</v>
      </c>
      <c r="N90" s="5">
        <v>28348.347000000002</v>
      </c>
      <c r="O90" s="5">
        <v>8.2000000000000003E-2</v>
      </c>
      <c r="P90" s="5">
        <v>5.0000000000000001E-3</v>
      </c>
      <c r="Q90" s="6">
        <v>1E-3</v>
      </c>
      <c r="R90" s="6">
        <v>0.18</v>
      </c>
      <c r="S90" s="7">
        <v>1134.441</v>
      </c>
      <c r="T90" s="5">
        <v>1838.375</v>
      </c>
      <c r="U90" s="5">
        <v>1.5289999999999999</v>
      </c>
      <c r="V90" s="5">
        <v>2.2429999999999999</v>
      </c>
      <c r="W90" s="5">
        <v>1.425</v>
      </c>
      <c r="X90" s="5">
        <v>3.4159999999999999</v>
      </c>
      <c r="Y90" s="5">
        <v>8.6170000000000009</v>
      </c>
      <c r="Z90" s="5">
        <v>2984</v>
      </c>
      <c r="AA90" s="5">
        <v>5270</v>
      </c>
      <c r="AB90" s="5">
        <v>3255</v>
      </c>
      <c r="AC90" s="5">
        <v>0.06</v>
      </c>
      <c r="AD90" s="5">
        <v>1</v>
      </c>
      <c r="AE90" s="5">
        <v>0</v>
      </c>
      <c r="AF90" s="5">
        <v>0</v>
      </c>
      <c r="AG90" s="5">
        <v>1</v>
      </c>
      <c r="AH90" s="5">
        <v>2.88</v>
      </c>
      <c r="AI90" s="5">
        <v>2.8746</v>
      </c>
      <c r="AJ90" s="5">
        <v>2.2000000000000001E-4</v>
      </c>
      <c r="AK90" s="5">
        <v>4.0000000000000003E-5</v>
      </c>
      <c r="AL90" s="5">
        <v>0</v>
      </c>
      <c r="AM90" s="5">
        <v>0</v>
      </c>
      <c r="AN90" s="5">
        <v>0.27300000000000002</v>
      </c>
      <c r="AO90" s="6">
        <f t="shared" si="21"/>
        <v>0.56622390891840613</v>
      </c>
      <c r="AP90" s="5">
        <f t="shared" si="22"/>
        <v>271</v>
      </c>
      <c r="AQ90" s="8">
        <f t="shared" si="16"/>
        <v>0.83384615384615379</v>
      </c>
      <c r="AR90" s="6">
        <f t="shared" si="23"/>
        <v>0.61764705882352944</v>
      </c>
      <c r="AS90" s="6">
        <f t="shared" si="24"/>
        <v>0.91771080257365389</v>
      </c>
      <c r="AT90" s="6">
        <f t="shared" si="27"/>
        <v>2.2750825115611495E-2</v>
      </c>
      <c r="AU90" s="6">
        <f t="shared" si="26"/>
        <v>-0.22706630336058148</v>
      </c>
      <c r="AV90" s="5">
        <f t="shared" si="17"/>
        <v>0</v>
      </c>
      <c r="AW90" s="5">
        <f t="shared" si="18"/>
        <v>5</v>
      </c>
      <c r="AX90" s="5">
        <f t="shared" si="19"/>
        <v>0</v>
      </c>
      <c r="AY90" s="5">
        <f t="shared" si="20"/>
        <v>0</v>
      </c>
      <c r="AZ90" s="5">
        <f t="shared" si="25"/>
        <v>0</v>
      </c>
    </row>
    <row r="91" spans="1:52" x14ac:dyDescent="0.3">
      <c r="A91" s="5" t="s">
        <v>52</v>
      </c>
      <c r="B91" s="5" t="s">
        <v>56</v>
      </c>
      <c r="C91" s="5" t="s">
        <v>54</v>
      </c>
      <c r="D91" s="5" t="s">
        <v>56</v>
      </c>
      <c r="E91" s="5" t="s">
        <v>55</v>
      </c>
      <c r="F91" s="5">
        <v>2</v>
      </c>
      <c r="G91" s="5">
        <v>0.04</v>
      </c>
      <c r="H91" s="5" t="b">
        <v>0</v>
      </c>
      <c r="I91" s="5" t="b">
        <v>0</v>
      </c>
      <c r="J91" s="5" t="b">
        <v>0</v>
      </c>
      <c r="K91" s="5">
        <v>2.9529999999999998</v>
      </c>
      <c r="L91" s="5">
        <v>5.1999999999999998E-2</v>
      </c>
      <c r="M91" s="5">
        <v>-5.8000000000000003E-2</v>
      </c>
      <c r="N91" s="5">
        <v>-57509.858</v>
      </c>
      <c r="O91" s="5">
        <v>-0.04</v>
      </c>
      <c r="P91" s="5">
        <v>5.0000000000000001E-3</v>
      </c>
      <c r="Q91" s="6">
        <v>1E-3</v>
      </c>
      <c r="R91" s="6">
        <v>0.18</v>
      </c>
      <c r="S91" s="7">
        <v>1146.049</v>
      </c>
      <c r="T91" s="5">
        <v>1838.375</v>
      </c>
      <c r="U91" s="5">
        <v>1.5229999999999999</v>
      </c>
      <c r="V91" s="5">
        <v>2.335</v>
      </c>
      <c r="W91" s="5">
        <v>1.419</v>
      </c>
      <c r="X91" s="5">
        <v>3.5760000000000001</v>
      </c>
      <c r="Y91" s="5">
        <v>8.8559999999999999</v>
      </c>
      <c r="Z91" s="5">
        <v>3017</v>
      </c>
      <c r="AA91" s="5">
        <v>5270</v>
      </c>
      <c r="AB91" s="5">
        <v>3292</v>
      </c>
      <c r="AC91" s="5">
        <v>0.06</v>
      </c>
      <c r="AD91" s="5">
        <v>1</v>
      </c>
      <c r="AE91" s="5">
        <v>0</v>
      </c>
      <c r="AF91" s="5">
        <v>0</v>
      </c>
      <c r="AG91" s="5">
        <v>1</v>
      </c>
      <c r="AH91" s="5">
        <v>2.88</v>
      </c>
      <c r="AI91" s="5">
        <v>2.8778899999999998</v>
      </c>
      <c r="AJ91" s="5">
        <v>2.7999999999999998E-4</v>
      </c>
      <c r="AK91" s="5">
        <v>2.3000000000000001E-4</v>
      </c>
      <c r="AL91" s="5">
        <v>0</v>
      </c>
      <c r="AM91" s="5">
        <v>0</v>
      </c>
      <c r="AN91" s="5">
        <v>0.27700000000000002</v>
      </c>
      <c r="AO91" s="6">
        <f t="shared" si="21"/>
        <v>0.57248576850094879</v>
      </c>
      <c r="AP91" s="5">
        <f t="shared" si="22"/>
        <v>275</v>
      </c>
      <c r="AQ91" s="8">
        <f t="shared" si="16"/>
        <v>0.84615384615384615</v>
      </c>
      <c r="AR91" s="6">
        <f t="shared" si="23"/>
        <v>0.62466793168880452</v>
      </c>
      <c r="AS91" s="6">
        <f t="shared" si="24"/>
        <v>0.93125634947511005</v>
      </c>
      <c r="AT91" s="6">
        <f t="shared" si="27"/>
        <v>7.4016562048414516E-2</v>
      </c>
      <c r="AU91" s="6">
        <f t="shared" si="26"/>
        <v>0.34458993797381271</v>
      </c>
      <c r="AV91" s="5">
        <f t="shared" si="17"/>
        <v>0</v>
      </c>
      <c r="AW91" s="5">
        <f t="shared" si="18"/>
        <v>5</v>
      </c>
      <c r="AX91" s="5">
        <f t="shared" si="19"/>
        <v>0</v>
      </c>
      <c r="AY91" s="5">
        <f t="shared" si="20"/>
        <v>0</v>
      </c>
      <c r="AZ91" s="5">
        <f t="shared" si="25"/>
        <v>0</v>
      </c>
    </row>
    <row r="92" spans="1:52" x14ac:dyDescent="0.3">
      <c r="A92" s="5" t="s">
        <v>52</v>
      </c>
      <c r="B92" s="5" t="s">
        <v>56</v>
      </c>
      <c r="C92" s="5" t="s">
        <v>54</v>
      </c>
      <c r="D92" s="5" t="s">
        <v>56</v>
      </c>
      <c r="E92" s="5" t="s">
        <v>55</v>
      </c>
      <c r="F92" s="5">
        <v>2</v>
      </c>
      <c r="G92" s="5">
        <v>0.04</v>
      </c>
      <c r="H92" s="5" t="b">
        <v>0</v>
      </c>
      <c r="I92" s="5" t="b">
        <v>0</v>
      </c>
      <c r="J92" s="5" t="b">
        <v>0</v>
      </c>
      <c r="K92" s="5">
        <v>2.9529999999999998</v>
      </c>
      <c r="L92" s="5">
        <v>5.1999999999999998E-2</v>
      </c>
      <c r="M92" s="5">
        <v>-5.8000000000000003E-2</v>
      </c>
      <c r="N92" s="5">
        <v>50496.658000000003</v>
      </c>
      <c r="O92" s="5">
        <v>4.4999999999999998E-2</v>
      </c>
      <c r="P92" s="5">
        <v>5.0000000000000001E-3</v>
      </c>
      <c r="Q92" s="6">
        <v>1E-3</v>
      </c>
      <c r="R92" s="6">
        <v>0.18</v>
      </c>
      <c r="S92" s="7">
        <v>1157.758</v>
      </c>
      <c r="T92" s="5">
        <v>1838.375</v>
      </c>
      <c r="U92" s="5">
        <v>1.431</v>
      </c>
      <c r="V92" s="5">
        <v>2.2050000000000001</v>
      </c>
      <c r="W92" s="5">
        <v>1.4330000000000001</v>
      </c>
      <c r="X92" s="5">
        <v>3.6259999999999999</v>
      </c>
      <c r="Y92" s="5">
        <v>8.6989999999999998</v>
      </c>
      <c r="Z92" s="5">
        <v>3050</v>
      </c>
      <c r="AA92" s="5">
        <v>5270</v>
      </c>
      <c r="AB92" s="5">
        <v>3327</v>
      </c>
      <c r="AC92" s="5">
        <v>0.06</v>
      </c>
      <c r="AD92" s="5">
        <v>1</v>
      </c>
      <c r="AE92" s="5">
        <v>0</v>
      </c>
      <c r="AF92" s="5">
        <v>0</v>
      </c>
      <c r="AG92" s="5">
        <v>1</v>
      </c>
      <c r="AH92" s="5">
        <v>2.84</v>
      </c>
      <c r="AI92" s="5">
        <v>2.8638300000000001</v>
      </c>
      <c r="AJ92" s="5">
        <v>-1.1999999999999999E-3</v>
      </c>
      <c r="AK92" s="5">
        <v>0</v>
      </c>
      <c r="AL92" s="5">
        <v>0</v>
      </c>
      <c r="AM92" s="5">
        <v>0</v>
      </c>
      <c r="AN92" s="5">
        <v>0.27700000000000002</v>
      </c>
      <c r="AO92" s="6">
        <f t="shared" si="21"/>
        <v>0.57874762808349145</v>
      </c>
      <c r="AP92" s="5">
        <f t="shared" si="22"/>
        <v>277</v>
      </c>
      <c r="AQ92" s="8">
        <f t="shared" si="16"/>
        <v>0.85230769230769232</v>
      </c>
      <c r="AR92" s="6">
        <f t="shared" si="23"/>
        <v>0.63130929791271351</v>
      </c>
      <c r="AS92" s="6">
        <f t="shared" si="24"/>
        <v>0.93802912292583807</v>
      </c>
      <c r="AT92" s="6">
        <f t="shared" si="27"/>
        <v>9.117440706316135E-2</v>
      </c>
      <c r="AU92" s="6">
        <f t="shared" si="26"/>
        <v>0.17080877957126908</v>
      </c>
      <c r="AV92" s="5">
        <f t="shared" si="17"/>
        <v>0</v>
      </c>
      <c r="AW92" s="5">
        <f t="shared" si="18"/>
        <v>5</v>
      </c>
      <c r="AX92" s="5">
        <f t="shared" si="19"/>
        <v>0</v>
      </c>
      <c r="AY92" s="5">
        <f t="shared" si="20"/>
        <v>0</v>
      </c>
      <c r="AZ92" s="5">
        <f t="shared" si="25"/>
        <v>0</v>
      </c>
    </row>
    <row r="93" spans="1:52" x14ac:dyDescent="0.3">
      <c r="A93" s="5" t="s">
        <v>52</v>
      </c>
      <c r="B93" s="5" t="s">
        <v>56</v>
      </c>
      <c r="C93" s="5" t="s">
        <v>54</v>
      </c>
      <c r="D93" s="5" t="s">
        <v>56</v>
      </c>
      <c r="E93" s="5" t="s">
        <v>55</v>
      </c>
      <c r="F93" s="5">
        <v>2</v>
      </c>
      <c r="G93" s="5">
        <v>0.04</v>
      </c>
      <c r="H93" s="5" t="b">
        <v>0</v>
      </c>
      <c r="I93" s="5" t="b">
        <v>0</v>
      </c>
      <c r="J93" s="5" t="b">
        <v>0</v>
      </c>
      <c r="K93" s="5">
        <v>2.9529999999999998</v>
      </c>
      <c r="L93" s="5">
        <v>5.1999999999999998E-2</v>
      </c>
      <c r="M93" s="5">
        <v>-5.8000000000000003E-2</v>
      </c>
      <c r="N93" s="5">
        <v>17387.878000000001</v>
      </c>
      <c r="O93" s="5">
        <v>0.128</v>
      </c>
      <c r="P93" s="5">
        <v>5.0000000000000001E-3</v>
      </c>
      <c r="Q93" s="6">
        <v>1E-3</v>
      </c>
      <c r="R93" s="6">
        <v>0.18</v>
      </c>
      <c r="S93" s="7">
        <v>1169.1420000000001</v>
      </c>
      <c r="T93" s="5">
        <v>1838.375</v>
      </c>
      <c r="U93" s="5">
        <v>2.4550000000000001</v>
      </c>
      <c r="V93" s="5">
        <v>2.194</v>
      </c>
      <c r="W93" s="5">
        <v>1.385</v>
      </c>
      <c r="X93" s="5">
        <v>3.786</v>
      </c>
      <c r="Y93" s="5">
        <v>9.8249999999999993</v>
      </c>
      <c r="Z93" s="5">
        <v>3083</v>
      </c>
      <c r="AA93" s="5">
        <v>5270</v>
      </c>
      <c r="AB93" s="5">
        <v>3361</v>
      </c>
      <c r="AC93" s="5">
        <v>0.06</v>
      </c>
      <c r="AD93" s="5">
        <v>1</v>
      </c>
      <c r="AE93" s="5">
        <v>0</v>
      </c>
      <c r="AF93" s="5">
        <v>0</v>
      </c>
      <c r="AG93" s="5">
        <v>1</v>
      </c>
      <c r="AH93" s="5">
        <v>2.88</v>
      </c>
      <c r="AI93" s="5">
        <v>2.8662800000000002</v>
      </c>
      <c r="AJ93" s="5">
        <v>2.1000000000000001E-4</v>
      </c>
      <c r="AK93" s="5">
        <v>-1.3999999999999999E-4</v>
      </c>
      <c r="AL93" s="5">
        <v>0</v>
      </c>
      <c r="AM93" s="5">
        <v>0</v>
      </c>
      <c r="AN93" s="5">
        <v>0.27700000000000002</v>
      </c>
      <c r="AO93" s="6">
        <f t="shared" si="21"/>
        <v>0.58500948766603411</v>
      </c>
      <c r="AP93" s="5">
        <f t="shared" si="22"/>
        <v>278</v>
      </c>
      <c r="AQ93" s="8">
        <f t="shared" si="16"/>
        <v>0.85538461538461541</v>
      </c>
      <c r="AR93" s="6">
        <f t="shared" si="23"/>
        <v>0.63776091081593933</v>
      </c>
      <c r="AS93" s="6">
        <f t="shared" si="24"/>
        <v>0.94141550965120213</v>
      </c>
      <c r="AT93" s="6">
        <f t="shared" si="27"/>
        <v>9.1770758631971636E-2</v>
      </c>
      <c r="AU93" s="6">
        <f t="shared" si="26"/>
        <v>8.7842586085734253E-2</v>
      </c>
      <c r="AV93" s="5">
        <f t="shared" si="17"/>
        <v>0</v>
      </c>
      <c r="AW93" s="5">
        <f t="shared" si="18"/>
        <v>5</v>
      </c>
      <c r="AX93" s="5">
        <f t="shared" si="19"/>
        <v>0</v>
      </c>
      <c r="AY93" s="5">
        <f t="shared" si="20"/>
        <v>0</v>
      </c>
      <c r="AZ93" s="5">
        <f t="shared" si="25"/>
        <v>0</v>
      </c>
    </row>
    <row r="94" spans="1:52" x14ac:dyDescent="0.3">
      <c r="A94" s="5" t="s">
        <v>52</v>
      </c>
      <c r="B94" s="5" t="s">
        <v>56</v>
      </c>
      <c r="C94" s="5" t="s">
        <v>54</v>
      </c>
      <c r="D94" s="5" t="s">
        <v>56</v>
      </c>
      <c r="E94" s="5" t="s">
        <v>55</v>
      </c>
      <c r="F94" s="5">
        <v>2</v>
      </c>
      <c r="G94" s="5">
        <v>0.04</v>
      </c>
      <c r="H94" s="5" t="b">
        <v>0</v>
      </c>
      <c r="I94" s="5" t="b">
        <v>0</v>
      </c>
      <c r="J94" s="5" t="b">
        <v>0</v>
      </c>
      <c r="K94" s="5">
        <v>2.9529999999999998</v>
      </c>
      <c r="L94" s="5">
        <v>5.1999999999999998E-2</v>
      </c>
      <c r="M94" s="5">
        <v>-5.8000000000000003E-2</v>
      </c>
      <c r="N94" s="5">
        <v>10774.392</v>
      </c>
      <c r="O94" s="5">
        <v>0.20300000000000001</v>
      </c>
      <c r="P94" s="5">
        <v>5.0000000000000001E-3</v>
      </c>
      <c r="Q94" s="6">
        <v>1E-3</v>
      </c>
      <c r="R94" s="6">
        <v>0.18</v>
      </c>
      <c r="S94" s="7">
        <v>1182.857</v>
      </c>
      <c r="T94" s="5">
        <v>1838.375</v>
      </c>
      <c r="U94" s="5">
        <v>1.851</v>
      </c>
      <c r="V94" s="5">
        <v>2.3679999999999999</v>
      </c>
      <c r="W94" s="5">
        <v>1.84</v>
      </c>
      <c r="X94" s="5">
        <v>3.6680000000000001</v>
      </c>
      <c r="Y94" s="5">
        <v>9.7309999999999999</v>
      </c>
      <c r="Z94" s="5">
        <v>3123</v>
      </c>
      <c r="AA94" s="5">
        <v>5270</v>
      </c>
      <c r="AB94" s="5">
        <v>3398</v>
      </c>
      <c r="AC94" s="5">
        <v>0.06</v>
      </c>
      <c r="AD94" s="5">
        <v>1</v>
      </c>
      <c r="AE94" s="5">
        <v>0</v>
      </c>
      <c r="AF94" s="5">
        <v>0</v>
      </c>
      <c r="AG94" s="5">
        <v>1</v>
      </c>
      <c r="AH94" s="5">
        <v>2.88</v>
      </c>
      <c r="AI94" s="5">
        <v>2.8720599999999998</v>
      </c>
      <c r="AJ94" s="5">
        <v>4.2000000000000002E-4</v>
      </c>
      <c r="AK94" s="5">
        <v>1.0000000000000001E-5</v>
      </c>
      <c r="AL94" s="5">
        <v>0</v>
      </c>
      <c r="AM94" s="5">
        <v>0</v>
      </c>
      <c r="AN94" s="5">
        <v>0.27700000000000002</v>
      </c>
      <c r="AO94" s="6">
        <f t="shared" si="21"/>
        <v>0.59259962049335868</v>
      </c>
      <c r="AP94" s="5">
        <f t="shared" si="22"/>
        <v>275</v>
      </c>
      <c r="AQ94" s="8">
        <f t="shared" si="16"/>
        <v>0.84615384615384615</v>
      </c>
      <c r="AR94" s="6">
        <f t="shared" si="23"/>
        <v>0.64478178368121442</v>
      </c>
      <c r="AS94" s="6">
        <f t="shared" si="24"/>
        <v>0.93125634947511005</v>
      </c>
      <c r="AT94" s="6">
        <f t="shared" si="27"/>
        <v>3.1487278581206687E-2</v>
      </c>
      <c r="AU94" s="6">
        <f t="shared" si="26"/>
        <v>-0.21873860736420109</v>
      </c>
      <c r="AV94" s="5">
        <f t="shared" si="17"/>
        <v>0</v>
      </c>
      <c r="AW94" s="5">
        <f t="shared" si="18"/>
        <v>5</v>
      </c>
      <c r="AX94" s="5">
        <f t="shared" si="19"/>
        <v>0</v>
      </c>
      <c r="AY94" s="5">
        <f t="shared" si="20"/>
        <v>0</v>
      </c>
      <c r="AZ94" s="5">
        <f t="shared" si="25"/>
        <v>0</v>
      </c>
    </row>
    <row r="95" spans="1:52" x14ac:dyDescent="0.3">
      <c r="A95" s="5" t="s">
        <v>52</v>
      </c>
      <c r="B95" s="5" t="s">
        <v>56</v>
      </c>
      <c r="C95" s="5" t="s">
        <v>54</v>
      </c>
      <c r="D95" s="5" t="s">
        <v>56</v>
      </c>
      <c r="E95" s="5" t="s">
        <v>55</v>
      </c>
      <c r="F95" s="5">
        <v>2</v>
      </c>
      <c r="G95" s="5">
        <v>0.04</v>
      </c>
      <c r="H95" s="5" t="b">
        <v>0</v>
      </c>
      <c r="I95" s="5" t="b">
        <v>0</v>
      </c>
      <c r="J95" s="5" t="b">
        <v>0</v>
      </c>
      <c r="K95" s="5">
        <v>2.9529999999999998</v>
      </c>
      <c r="L95" s="5">
        <v>5.1999999999999998E-2</v>
      </c>
      <c r="M95" s="5">
        <v>-5.8000000000000003E-2</v>
      </c>
      <c r="N95" s="5">
        <v>13446.26</v>
      </c>
      <c r="O95" s="5">
        <v>0.16</v>
      </c>
      <c r="P95" s="5">
        <v>5.0000000000000001E-3</v>
      </c>
      <c r="Q95" s="6">
        <v>1E-3</v>
      </c>
      <c r="R95" s="6">
        <v>0.18</v>
      </c>
      <c r="S95" s="7">
        <v>1195.191</v>
      </c>
      <c r="T95" s="5">
        <v>1838.375</v>
      </c>
      <c r="U95" s="5">
        <v>1.6080000000000001</v>
      </c>
      <c r="V95" s="5">
        <v>2.806</v>
      </c>
      <c r="W95" s="5">
        <v>1.4379999999999999</v>
      </c>
      <c r="X95" s="5">
        <v>3.4820000000000002</v>
      </c>
      <c r="Y95" s="5">
        <v>9.3369999999999997</v>
      </c>
      <c r="Z95" s="5">
        <v>3158</v>
      </c>
      <c r="AA95" s="5">
        <v>5270</v>
      </c>
      <c r="AB95" s="5">
        <v>3438</v>
      </c>
      <c r="AC95" s="5">
        <v>0.06</v>
      </c>
      <c r="AD95" s="5">
        <v>1</v>
      </c>
      <c r="AE95" s="5">
        <v>0</v>
      </c>
      <c r="AF95" s="5">
        <v>0</v>
      </c>
      <c r="AG95" s="5">
        <v>1</v>
      </c>
      <c r="AH95" s="5">
        <v>2.86</v>
      </c>
      <c r="AI95" s="5">
        <v>2.8641899999999998</v>
      </c>
      <c r="AJ95" s="5">
        <v>-6.4000000000000005E-4</v>
      </c>
      <c r="AK95" s="5">
        <v>-1.7000000000000001E-4</v>
      </c>
      <c r="AL95" s="5">
        <v>0</v>
      </c>
      <c r="AM95" s="5">
        <v>0</v>
      </c>
      <c r="AN95" s="5">
        <v>0.27700000000000002</v>
      </c>
      <c r="AO95" s="6">
        <f t="shared" si="21"/>
        <v>0.59924098671726755</v>
      </c>
      <c r="AP95" s="5">
        <f t="shared" si="22"/>
        <v>280</v>
      </c>
      <c r="AQ95" s="8">
        <f t="shared" si="16"/>
        <v>0.86153846153846159</v>
      </c>
      <c r="AR95" s="6">
        <f t="shared" si="23"/>
        <v>0.65237191650853887</v>
      </c>
      <c r="AS95" s="6">
        <f t="shared" si="24"/>
        <v>0.94818828310193015</v>
      </c>
      <c r="AT95" s="6">
        <f t="shared" si="27"/>
        <v>0.15797723781015738</v>
      </c>
      <c r="AU95" s="6">
        <f t="shared" si="26"/>
        <v>0.40538349278417185</v>
      </c>
      <c r="AV95" s="5">
        <f t="shared" si="17"/>
        <v>0</v>
      </c>
      <c r="AW95" s="5">
        <f t="shared" si="18"/>
        <v>5</v>
      </c>
      <c r="AX95" s="5">
        <f t="shared" si="19"/>
        <v>0</v>
      </c>
      <c r="AY95" s="5">
        <f t="shared" si="20"/>
        <v>0</v>
      </c>
      <c r="AZ95" s="5">
        <f t="shared" si="25"/>
        <v>0</v>
      </c>
    </row>
    <row r="96" spans="1:52" x14ac:dyDescent="0.3">
      <c r="A96" s="5" t="s">
        <v>52</v>
      </c>
      <c r="B96" s="5" t="s">
        <v>56</v>
      </c>
      <c r="C96" s="5" t="s">
        <v>54</v>
      </c>
      <c r="D96" s="5" t="s">
        <v>56</v>
      </c>
      <c r="E96" s="5" t="s">
        <v>55</v>
      </c>
      <c r="F96" s="5">
        <v>2</v>
      </c>
      <c r="G96" s="5">
        <v>0.04</v>
      </c>
      <c r="H96" s="5" t="b">
        <v>0</v>
      </c>
      <c r="I96" s="5" t="b">
        <v>0</v>
      </c>
      <c r="J96" s="5" t="b">
        <v>0</v>
      </c>
      <c r="K96" s="5">
        <v>2.9529999999999998</v>
      </c>
      <c r="L96" s="5">
        <v>5.1999999999999998E-2</v>
      </c>
      <c r="M96" s="5">
        <v>-5.8000000000000003E-2</v>
      </c>
      <c r="N96" s="5">
        <v>50445.474999999999</v>
      </c>
      <c r="O96" s="5">
        <v>4.2000000000000003E-2</v>
      </c>
      <c r="P96" s="5">
        <v>5.0000000000000001E-3</v>
      </c>
      <c r="Q96" s="6">
        <v>1E-3</v>
      </c>
      <c r="R96" s="6">
        <v>0.18</v>
      </c>
      <c r="S96" s="7">
        <v>1207.1590000000001</v>
      </c>
      <c r="T96" s="5">
        <v>1838.375</v>
      </c>
      <c r="U96" s="5">
        <v>1.488</v>
      </c>
      <c r="V96" s="5">
        <v>2.1880000000000002</v>
      </c>
      <c r="W96" s="5">
        <v>1.4159999999999999</v>
      </c>
      <c r="X96" s="5">
        <v>3.45</v>
      </c>
      <c r="Y96" s="5">
        <v>8.5459999999999994</v>
      </c>
      <c r="Z96" s="5">
        <v>3192</v>
      </c>
      <c r="AA96" s="5">
        <v>5270</v>
      </c>
      <c r="AB96" s="5">
        <v>3474</v>
      </c>
      <c r="AC96" s="5">
        <v>0.06</v>
      </c>
      <c r="AD96" s="5">
        <v>1</v>
      </c>
      <c r="AE96" s="5">
        <v>0</v>
      </c>
      <c r="AF96" s="5">
        <v>0</v>
      </c>
      <c r="AG96" s="5">
        <v>1</v>
      </c>
      <c r="AH96" s="5">
        <v>2.92</v>
      </c>
      <c r="AI96" s="5">
        <v>2.8636900000000001</v>
      </c>
      <c r="AJ96" s="5">
        <v>-4.0000000000000003E-5</v>
      </c>
      <c r="AK96" s="5">
        <v>-2.3000000000000001E-4</v>
      </c>
      <c r="AL96" s="5">
        <v>0</v>
      </c>
      <c r="AM96" s="5">
        <v>0</v>
      </c>
      <c r="AN96" s="5">
        <v>0.27700000000000002</v>
      </c>
      <c r="AO96" s="6">
        <f t="shared" si="21"/>
        <v>0.60569259962049338</v>
      </c>
      <c r="AP96" s="5">
        <f t="shared" si="22"/>
        <v>282</v>
      </c>
      <c r="AQ96" s="8">
        <f t="shared" si="16"/>
        <v>0.86769230769230765</v>
      </c>
      <c r="AR96" s="6">
        <f t="shared" si="23"/>
        <v>0.65920303605313091</v>
      </c>
      <c r="AS96" s="6">
        <f t="shared" si="24"/>
        <v>0.95496105655265828</v>
      </c>
      <c r="AT96" s="6">
        <f t="shared" si="27"/>
        <v>0.12248171010844273</v>
      </c>
      <c r="AU96" s="6">
        <f t="shared" si="26"/>
        <v>0.16711229946523959</v>
      </c>
      <c r="AV96" s="5">
        <f t="shared" si="17"/>
        <v>0</v>
      </c>
      <c r="AW96" s="5">
        <f t="shared" si="18"/>
        <v>5</v>
      </c>
      <c r="AX96" s="5">
        <f t="shared" si="19"/>
        <v>0</v>
      </c>
      <c r="AY96" s="5">
        <f t="shared" si="20"/>
        <v>0</v>
      </c>
      <c r="AZ96" s="5">
        <f t="shared" si="25"/>
        <v>0</v>
      </c>
    </row>
    <row r="97" spans="1:52" x14ac:dyDescent="0.3">
      <c r="A97" s="5" t="s">
        <v>52</v>
      </c>
      <c r="B97" s="5" t="s">
        <v>56</v>
      </c>
      <c r="C97" s="5" t="s">
        <v>54</v>
      </c>
      <c r="D97" s="5" t="s">
        <v>56</v>
      </c>
      <c r="E97" s="5" t="s">
        <v>55</v>
      </c>
      <c r="F97" s="5">
        <v>2</v>
      </c>
      <c r="G97" s="5">
        <v>0.04</v>
      </c>
      <c r="H97" s="5" t="b">
        <v>0</v>
      </c>
      <c r="I97" s="5" t="b">
        <v>0</v>
      </c>
      <c r="J97" s="5" t="b">
        <v>0</v>
      </c>
      <c r="K97" s="5">
        <v>2.9529999999999998</v>
      </c>
      <c r="L97" s="5">
        <v>5.1999999999999998E-2</v>
      </c>
      <c r="M97" s="5">
        <v>-5.8000000000000003E-2</v>
      </c>
      <c r="N97" s="5">
        <v>-720757.15</v>
      </c>
      <c r="O97" s="5">
        <v>-3.0000000000000001E-3</v>
      </c>
      <c r="P97" s="5">
        <v>5.0000000000000001E-3</v>
      </c>
      <c r="Q97" s="6">
        <v>1E-3</v>
      </c>
      <c r="R97" s="6">
        <v>0.18</v>
      </c>
      <c r="S97" s="7">
        <v>1218.4860000000001</v>
      </c>
      <c r="T97" s="5">
        <v>1838.375</v>
      </c>
      <c r="U97" s="5">
        <v>1.7709999999999999</v>
      </c>
      <c r="V97" s="5">
        <v>2.1920000000000002</v>
      </c>
      <c r="W97" s="5">
        <v>1.369</v>
      </c>
      <c r="X97" s="5">
        <v>3.5019999999999998</v>
      </c>
      <c r="Y97" s="5">
        <v>8.8379999999999992</v>
      </c>
      <c r="Z97" s="5">
        <v>3226</v>
      </c>
      <c r="AA97" s="5">
        <v>5270</v>
      </c>
      <c r="AB97" s="5">
        <v>3507</v>
      </c>
      <c r="AC97" s="5">
        <v>0.06</v>
      </c>
      <c r="AD97" s="5">
        <v>1</v>
      </c>
      <c r="AE97" s="5">
        <v>0</v>
      </c>
      <c r="AF97" s="5">
        <v>0</v>
      </c>
      <c r="AG97" s="5">
        <v>1</v>
      </c>
      <c r="AH97" s="5">
        <v>2.88</v>
      </c>
      <c r="AI97" s="5">
        <v>2.8981699999999999</v>
      </c>
      <c r="AJ97" s="5">
        <v>3.0400000000000002E-3</v>
      </c>
      <c r="AK97" s="5">
        <v>5.6999999999999998E-4</v>
      </c>
      <c r="AL97" s="5">
        <v>0</v>
      </c>
      <c r="AM97" s="5">
        <v>0</v>
      </c>
      <c r="AN97" s="5">
        <v>0.28000000000000003</v>
      </c>
      <c r="AO97" s="6">
        <f t="shared" si="21"/>
        <v>0.6121442125237192</v>
      </c>
      <c r="AP97" s="5">
        <f t="shared" si="22"/>
        <v>281</v>
      </c>
      <c r="AQ97" s="8">
        <f t="shared" si="16"/>
        <v>0.86461538461538456</v>
      </c>
      <c r="AR97" s="6">
        <f t="shared" si="23"/>
        <v>0.66546489563567357</v>
      </c>
      <c r="AS97" s="6">
        <f t="shared" si="24"/>
        <v>0.95157466982729422</v>
      </c>
      <c r="AT97" s="6">
        <f t="shared" si="27"/>
        <v>7.0663028264993183E-2</v>
      </c>
      <c r="AU97" s="6">
        <f t="shared" si="26"/>
        <v>-8.8284629645978649E-2</v>
      </c>
      <c r="AV97" s="5">
        <f t="shared" si="17"/>
        <v>0</v>
      </c>
      <c r="AW97" s="5">
        <f t="shared" si="18"/>
        <v>5</v>
      </c>
      <c r="AX97" s="5">
        <f t="shared" si="19"/>
        <v>0</v>
      </c>
      <c r="AY97" s="5">
        <f t="shared" si="20"/>
        <v>0</v>
      </c>
      <c r="AZ97" s="5">
        <f t="shared" si="25"/>
        <v>0</v>
      </c>
    </row>
    <row r="98" spans="1:52" x14ac:dyDescent="0.3">
      <c r="A98" s="5" t="s">
        <v>52</v>
      </c>
      <c r="B98" s="5" t="s">
        <v>56</v>
      </c>
      <c r="C98" s="5" t="s">
        <v>54</v>
      </c>
      <c r="D98" s="5" t="s">
        <v>56</v>
      </c>
      <c r="E98" s="5" t="s">
        <v>55</v>
      </c>
      <c r="F98" s="5">
        <v>2</v>
      </c>
      <c r="G98" s="5">
        <v>0.04</v>
      </c>
      <c r="H98" s="5" t="b">
        <v>0</v>
      </c>
      <c r="I98" s="5" t="b">
        <v>0</v>
      </c>
      <c r="J98" s="5" t="b">
        <v>0</v>
      </c>
      <c r="K98" s="5">
        <v>2.9529999999999998</v>
      </c>
      <c r="L98" s="5">
        <v>5.1999999999999998E-2</v>
      </c>
      <c r="M98" s="5">
        <v>-5.8000000000000003E-2</v>
      </c>
      <c r="N98" s="5">
        <v>-45675.911</v>
      </c>
      <c r="O98" s="5">
        <v>-4.4999999999999998E-2</v>
      </c>
      <c r="P98" s="5">
        <v>5.0000000000000001E-3</v>
      </c>
      <c r="Q98" s="6">
        <v>1E-3</v>
      </c>
      <c r="R98" s="6">
        <v>0.18</v>
      </c>
      <c r="S98" s="7">
        <v>1229.8789999999999</v>
      </c>
      <c r="T98" s="5">
        <v>1838.375</v>
      </c>
      <c r="U98" s="5">
        <v>1.4350000000000001</v>
      </c>
      <c r="V98" s="5">
        <v>2.2709999999999999</v>
      </c>
      <c r="W98" s="5">
        <v>1.569</v>
      </c>
      <c r="X98" s="5">
        <v>3.5270000000000001</v>
      </c>
      <c r="Y98" s="5">
        <v>8.8049999999999997</v>
      </c>
      <c r="Z98" s="5">
        <v>3258</v>
      </c>
      <c r="AA98" s="5">
        <v>5270</v>
      </c>
      <c r="AB98" s="5">
        <v>3541</v>
      </c>
      <c r="AC98" s="5">
        <v>0.06</v>
      </c>
      <c r="AD98" s="5">
        <v>1</v>
      </c>
      <c r="AE98" s="5">
        <v>0</v>
      </c>
      <c r="AF98" s="5">
        <v>0</v>
      </c>
      <c r="AG98" s="5">
        <v>1</v>
      </c>
      <c r="AH98" s="5">
        <v>2.86</v>
      </c>
      <c r="AI98" s="5">
        <v>2.8812799999999998</v>
      </c>
      <c r="AJ98" s="5">
        <v>-1.48E-3</v>
      </c>
      <c r="AK98" s="5">
        <v>2.5000000000000001E-4</v>
      </c>
      <c r="AL98" s="5">
        <v>0</v>
      </c>
      <c r="AM98" s="5">
        <v>0</v>
      </c>
      <c r="AN98" s="5">
        <v>0.27700000000000002</v>
      </c>
      <c r="AO98" s="6">
        <f t="shared" si="21"/>
        <v>0.6182163187855787</v>
      </c>
      <c r="AP98" s="5">
        <f t="shared" si="22"/>
        <v>283</v>
      </c>
      <c r="AQ98" s="8">
        <f t="shared" si="16"/>
        <v>0.87076923076923074</v>
      </c>
      <c r="AR98" s="6">
        <f t="shared" si="23"/>
        <v>0.67191650853889939</v>
      </c>
      <c r="AS98" s="6">
        <f t="shared" si="24"/>
        <v>0.95834744327802235</v>
      </c>
      <c r="AT98" s="6">
        <f t="shared" si="27"/>
        <v>8.8203788674459785E-2</v>
      </c>
      <c r="AU98" s="6">
        <f t="shared" si="26"/>
        <v>0.17554638813306722</v>
      </c>
      <c r="AV98" s="5">
        <f t="shared" ref="AV98:AV129" si="28">IF(B98="ACCELERATION",5,0)</f>
        <v>0</v>
      </c>
      <c r="AW98" s="5">
        <f t="shared" ref="AW98:AW129" si="29">IF(B98="CRUISING",5,0)</f>
        <v>5</v>
      </c>
      <c r="AX98" s="5">
        <f t="shared" ref="AX98:AX129" si="30">IF(B98="DECELERATION",5,0)</f>
        <v>0</v>
      </c>
      <c r="AY98" s="5">
        <f t="shared" ref="AY98:AY129" si="31">IF(B98="END",5,0)</f>
        <v>0</v>
      </c>
      <c r="AZ98" s="5">
        <f t="shared" si="25"/>
        <v>0</v>
      </c>
    </row>
    <row r="99" spans="1:52" x14ac:dyDescent="0.3">
      <c r="A99" s="5" t="s">
        <v>52</v>
      </c>
      <c r="B99" s="5" t="s">
        <v>56</v>
      </c>
      <c r="C99" s="5" t="s">
        <v>54</v>
      </c>
      <c r="D99" s="5" t="s">
        <v>56</v>
      </c>
      <c r="E99" s="5" t="s">
        <v>55</v>
      </c>
      <c r="F99" s="5">
        <v>2</v>
      </c>
      <c r="G99" s="5">
        <v>0.04</v>
      </c>
      <c r="H99" s="5" t="b">
        <v>0</v>
      </c>
      <c r="I99" s="5" t="b">
        <v>0</v>
      </c>
      <c r="J99" s="5" t="b">
        <v>0</v>
      </c>
      <c r="K99" s="5">
        <v>2.9529999999999998</v>
      </c>
      <c r="L99" s="5">
        <v>5.1999999999999998E-2</v>
      </c>
      <c r="M99" s="5">
        <v>-5.8000000000000003E-2</v>
      </c>
      <c r="N99" s="5">
        <v>45707.28</v>
      </c>
      <c r="O99" s="5">
        <v>4.3999999999999997E-2</v>
      </c>
      <c r="P99" s="5">
        <v>5.0000000000000001E-3</v>
      </c>
      <c r="Q99" s="6">
        <v>1E-3</v>
      </c>
      <c r="R99" s="6">
        <v>0.18</v>
      </c>
      <c r="S99" s="7">
        <v>1241.27</v>
      </c>
      <c r="T99" s="5">
        <v>1838.375</v>
      </c>
      <c r="U99" s="5">
        <v>1.508</v>
      </c>
      <c r="V99" s="5">
        <v>2.1659999999999999</v>
      </c>
      <c r="W99" s="5">
        <v>1.609</v>
      </c>
      <c r="X99" s="5">
        <v>3.5830000000000002</v>
      </c>
      <c r="Y99" s="5">
        <v>8.8699999999999992</v>
      </c>
      <c r="Z99" s="5">
        <v>3290</v>
      </c>
      <c r="AA99" s="5">
        <v>5270</v>
      </c>
      <c r="AB99" s="5">
        <v>3574</v>
      </c>
      <c r="AC99" s="5">
        <v>0.06</v>
      </c>
      <c r="AD99" s="5">
        <v>1</v>
      </c>
      <c r="AE99" s="5">
        <v>0</v>
      </c>
      <c r="AF99" s="5">
        <v>0</v>
      </c>
      <c r="AG99" s="5">
        <v>1</v>
      </c>
      <c r="AH99" s="5">
        <v>2.88</v>
      </c>
      <c r="AI99" s="5">
        <v>2.8589500000000001</v>
      </c>
      <c r="AJ99" s="5">
        <v>-1.9599999999999999E-3</v>
      </c>
      <c r="AK99" s="5">
        <v>-2.2000000000000001E-4</v>
      </c>
      <c r="AL99" s="5">
        <v>0</v>
      </c>
      <c r="AM99" s="5">
        <v>0</v>
      </c>
      <c r="AN99" s="5">
        <v>0.27300000000000002</v>
      </c>
      <c r="AO99" s="6">
        <f t="shared" si="21"/>
        <v>0.62428842504743831</v>
      </c>
      <c r="AP99" s="5">
        <f t="shared" si="22"/>
        <v>284</v>
      </c>
      <c r="AQ99" s="8">
        <f t="shared" si="16"/>
        <v>0.87384615384615383</v>
      </c>
      <c r="AR99" s="6">
        <f t="shared" si="23"/>
        <v>0.67817836812144217</v>
      </c>
      <c r="AS99" s="6">
        <f t="shared" si="24"/>
        <v>0.9617338300033863</v>
      </c>
      <c r="AT99" s="6">
        <f t="shared" si="27"/>
        <v>0.14950923115511305</v>
      </c>
      <c r="AU99" s="6">
        <f t="shared" si="26"/>
        <v>8.778860503906534E-2</v>
      </c>
      <c r="AV99" s="5">
        <f t="shared" si="28"/>
        <v>0</v>
      </c>
      <c r="AW99" s="5">
        <f t="shared" si="29"/>
        <v>5</v>
      </c>
      <c r="AX99" s="5">
        <f t="shared" si="30"/>
        <v>0</v>
      </c>
      <c r="AY99" s="5">
        <f t="shared" si="31"/>
        <v>0</v>
      </c>
      <c r="AZ99" s="5">
        <f t="shared" si="25"/>
        <v>0</v>
      </c>
    </row>
    <row r="100" spans="1:52" x14ac:dyDescent="0.3">
      <c r="A100" s="5" t="s">
        <v>52</v>
      </c>
      <c r="B100" s="5" t="s">
        <v>56</v>
      </c>
      <c r="C100" s="5" t="s">
        <v>54</v>
      </c>
      <c r="D100" s="5" t="s">
        <v>56</v>
      </c>
      <c r="E100" s="5" t="s">
        <v>55</v>
      </c>
      <c r="F100" s="5">
        <v>2</v>
      </c>
      <c r="G100" s="5">
        <v>0.04</v>
      </c>
      <c r="H100" s="5" t="b">
        <v>0</v>
      </c>
      <c r="I100" s="5" t="b">
        <v>0</v>
      </c>
      <c r="J100" s="5" t="b">
        <v>0</v>
      </c>
      <c r="K100" s="5">
        <v>2.9529999999999998</v>
      </c>
      <c r="L100" s="5">
        <v>5.1999999999999998E-2</v>
      </c>
      <c r="M100" s="5">
        <v>-5.8000000000000003E-2</v>
      </c>
      <c r="N100" s="5">
        <v>15080.199000000001</v>
      </c>
      <c r="O100" s="5">
        <v>0.13100000000000001</v>
      </c>
      <c r="P100" s="5">
        <v>5.0000000000000001E-3</v>
      </c>
      <c r="Q100" s="6">
        <v>1E-3</v>
      </c>
      <c r="R100" s="6">
        <v>0.18</v>
      </c>
      <c r="S100" s="7">
        <v>1252.7190000000001</v>
      </c>
      <c r="T100" s="5">
        <v>1838.375</v>
      </c>
      <c r="U100" s="5">
        <v>1.617</v>
      </c>
      <c r="V100" s="5">
        <v>2.1389999999999998</v>
      </c>
      <c r="W100" s="5">
        <v>1.4259999999999999</v>
      </c>
      <c r="X100" s="5">
        <v>3.492</v>
      </c>
      <c r="Y100" s="5">
        <v>8.6760000000000002</v>
      </c>
      <c r="Z100" s="5">
        <v>3323</v>
      </c>
      <c r="AA100" s="5">
        <v>5270</v>
      </c>
      <c r="AB100" s="5">
        <v>3608</v>
      </c>
      <c r="AC100" s="5">
        <v>0.06</v>
      </c>
      <c r="AD100" s="5">
        <v>1</v>
      </c>
      <c r="AE100" s="5">
        <v>0</v>
      </c>
      <c r="AF100" s="5">
        <v>0</v>
      </c>
      <c r="AG100" s="5">
        <v>1</v>
      </c>
      <c r="AH100" s="5">
        <v>2.88</v>
      </c>
      <c r="AI100" s="5">
        <v>2.8681399999999999</v>
      </c>
      <c r="AJ100" s="5">
        <v>8.0000000000000004E-4</v>
      </c>
      <c r="AK100" s="5">
        <v>6.9999999999999994E-5</v>
      </c>
      <c r="AL100" s="5">
        <v>0</v>
      </c>
      <c r="AM100" s="5">
        <v>0</v>
      </c>
      <c r="AN100" s="5">
        <v>0.27300000000000002</v>
      </c>
      <c r="AO100" s="6">
        <f t="shared" si="21"/>
        <v>0.63055028462998097</v>
      </c>
      <c r="AP100" s="5">
        <f t="shared" si="22"/>
        <v>285</v>
      </c>
      <c r="AQ100" s="8">
        <f t="shared" si="16"/>
        <v>0.87692307692307692</v>
      </c>
      <c r="AR100" s="6">
        <f t="shared" si="23"/>
        <v>0.68462998102466788</v>
      </c>
      <c r="AS100" s="6">
        <f t="shared" si="24"/>
        <v>0.96512021672875037</v>
      </c>
      <c r="AT100" s="6">
        <f t="shared" si="27"/>
        <v>8.5901307163742821E-2</v>
      </c>
      <c r="AU100" s="6">
        <f t="shared" si="26"/>
        <v>8.7343872827320632E-2</v>
      </c>
      <c r="AV100" s="5">
        <f t="shared" si="28"/>
        <v>0</v>
      </c>
      <c r="AW100" s="5">
        <f t="shared" si="29"/>
        <v>5</v>
      </c>
      <c r="AX100" s="5">
        <f t="shared" si="30"/>
        <v>0</v>
      </c>
      <c r="AY100" s="5">
        <f t="shared" si="31"/>
        <v>0</v>
      </c>
      <c r="AZ100" s="5">
        <f t="shared" si="25"/>
        <v>0</v>
      </c>
    </row>
    <row r="101" spans="1:52" x14ac:dyDescent="0.3">
      <c r="A101" s="5" t="s">
        <v>52</v>
      </c>
      <c r="B101" s="5" t="s">
        <v>56</v>
      </c>
      <c r="C101" s="5" t="s">
        <v>54</v>
      </c>
      <c r="D101" s="5" t="s">
        <v>56</v>
      </c>
      <c r="E101" s="5" t="s">
        <v>55</v>
      </c>
      <c r="F101" s="5">
        <v>2</v>
      </c>
      <c r="G101" s="5">
        <v>0.04</v>
      </c>
      <c r="H101" s="5" t="b">
        <v>0</v>
      </c>
      <c r="I101" s="5" t="b">
        <v>0</v>
      </c>
      <c r="J101" s="5" t="b">
        <v>0</v>
      </c>
      <c r="K101" s="5">
        <v>2.9529999999999998</v>
      </c>
      <c r="L101" s="5">
        <v>5.1999999999999998E-2</v>
      </c>
      <c r="M101" s="5">
        <v>-5.8000000000000003E-2</v>
      </c>
      <c r="N101" s="5">
        <v>22307.833999999999</v>
      </c>
      <c r="O101" s="5">
        <v>8.6999999999999994E-2</v>
      </c>
      <c r="P101" s="5">
        <v>5.0000000000000001E-3</v>
      </c>
      <c r="Q101" s="6">
        <v>1E-3</v>
      </c>
      <c r="R101" s="6">
        <v>0.18</v>
      </c>
      <c r="S101" s="7">
        <v>1264.1279999999999</v>
      </c>
      <c r="T101" s="5">
        <v>1838.375</v>
      </c>
      <c r="U101" s="5">
        <v>1.6910000000000001</v>
      </c>
      <c r="V101" s="5">
        <v>2.1419999999999999</v>
      </c>
      <c r="W101" s="5">
        <v>1.431</v>
      </c>
      <c r="X101" s="5">
        <v>3.7269999999999999</v>
      </c>
      <c r="Y101" s="5">
        <v>8.9949999999999992</v>
      </c>
      <c r="Z101" s="5">
        <v>3356</v>
      </c>
      <c r="AA101" s="5">
        <v>5270</v>
      </c>
      <c r="AB101" s="5">
        <v>3641</v>
      </c>
      <c r="AC101" s="5">
        <v>0.06</v>
      </c>
      <c r="AD101" s="5">
        <v>1</v>
      </c>
      <c r="AE101" s="5">
        <v>0</v>
      </c>
      <c r="AF101" s="5">
        <v>0</v>
      </c>
      <c r="AG101" s="5">
        <v>1</v>
      </c>
      <c r="AH101" s="5">
        <v>2.84</v>
      </c>
      <c r="AI101" s="5">
        <v>2.8787600000000002</v>
      </c>
      <c r="AJ101" s="5">
        <v>9.3000000000000005E-4</v>
      </c>
      <c r="AK101" s="5">
        <v>2.5999999999999998E-4</v>
      </c>
      <c r="AL101" s="5">
        <v>0</v>
      </c>
      <c r="AM101" s="5">
        <v>0</v>
      </c>
      <c r="AN101" s="5">
        <v>0.27300000000000002</v>
      </c>
      <c r="AO101" s="6">
        <f t="shared" si="21"/>
        <v>0.63681214421252375</v>
      </c>
      <c r="AP101" s="5">
        <f t="shared" si="22"/>
        <v>285</v>
      </c>
      <c r="AQ101" s="8">
        <f t="shared" si="16"/>
        <v>0.87692307692307692</v>
      </c>
      <c r="AR101" s="6">
        <f t="shared" si="23"/>
        <v>0.69089184060721065</v>
      </c>
      <c r="AS101" s="6">
        <f t="shared" si="24"/>
        <v>0.96512021672875037</v>
      </c>
      <c r="AT101" s="6">
        <f t="shared" si="27"/>
        <v>5.2478847270694906E-2</v>
      </c>
      <c r="AU101" s="6">
        <f t="shared" si="26"/>
        <v>0</v>
      </c>
      <c r="AV101" s="5">
        <f t="shared" si="28"/>
        <v>0</v>
      </c>
      <c r="AW101" s="5">
        <f t="shared" si="29"/>
        <v>5</v>
      </c>
      <c r="AX101" s="5">
        <f t="shared" si="30"/>
        <v>0</v>
      </c>
      <c r="AY101" s="5">
        <f t="shared" si="31"/>
        <v>0</v>
      </c>
      <c r="AZ101" s="5">
        <f t="shared" si="25"/>
        <v>0</v>
      </c>
    </row>
    <row r="102" spans="1:52" x14ac:dyDescent="0.3">
      <c r="A102" s="5" t="s">
        <v>52</v>
      </c>
      <c r="B102" s="5" t="s">
        <v>56</v>
      </c>
      <c r="C102" s="5" t="s">
        <v>54</v>
      </c>
      <c r="D102" s="5" t="s">
        <v>56</v>
      </c>
      <c r="E102" s="5" t="s">
        <v>55</v>
      </c>
      <c r="F102" s="5">
        <v>2</v>
      </c>
      <c r="G102" s="5">
        <v>0.04</v>
      </c>
      <c r="H102" s="5" t="b">
        <v>0</v>
      </c>
      <c r="I102" s="5" t="b">
        <v>0</v>
      </c>
      <c r="J102" s="5" t="b">
        <v>0</v>
      </c>
      <c r="K102" s="5">
        <v>2.9529999999999998</v>
      </c>
      <c r="L102" s="5">
        <v>5.1999999999999998E-2</v>
      </c>
      <c r="M102" s="5">
        <v>-5.8000000000000003E-2</v>
      </c>
      <c r="N102" s="5">
        <v>22450.026000000002</v>
      </c>
      <c r="O102" s="5">
        <v>8.5000000000000006E-2</v>
      </c>
      <c r="P102" s="5">
        <v>5.0000000000000001E-3</v>
      </c>
      <c r="Q102" s="6">
        <v>1E-3</v>
      </c>
      <c r="R102" s="6">
        <v>0.18</v>
      </c>
      <c r="S102" s="7">
        <v>1275.79</v>
      </c>
      <c r="T102" s="5">
        <v>1838.375</v>
      </c>
      <c r="U102" s="5">
        <v>1.6859999999999999</v>
      </c>
      <c r="V102" s="5">
        <v>2.1379999999999999</v>
      </c>
      <c r="W102" s="5">
        <v>1.3939999999999999</v>
      </c>
      <c r="X102" s="5">
        <v>3.5169999999999999</v>
      </c>
      <c r="Y102" s="5">
        <v>8.7379999999999995</v>
      </c>
      <c r="Z102" s="5">
        <v>3390</v>
      </c>
      <c r="AA102" s="5">
        <v>5270</v>
      </c>
      <c r="AB102" s="5">
        <v>3676</v>
      </c>
      <c r="AC102" s="5">
        <v>0.06</v>
      </c>
      <c r="AD102" s="5">
        <v>1</v>
      </c>
      <c r="AE102" s="5">
        <v>0</v>
      </c>
      <c r="AF102" s="5">
        <v>0</v>
      </c>
      <c r="AG102" s="5">
        <v>1</v>
      </c>
      <c r="AH102" s="5">
        <v>2.86</v>
      </c>
      <c r="AI102" s="5">
        <v>2.8619300000000001</v>
      </c>
      <c r="AJ102" s="5">
        <v>-1.4400000000000001E-3</v>
      </c>
      <c r="AK102" s="5">
        <v>-6.3000000000000003E-4</v>
      </c>
      <c r="AL102" s="5">
        <v>0</v>
      </c>
      <c r="AM102" s="5">
        <v>0</v>
      </c>
      <c r="AN102" s="5">
        <v>0.27300000000000002</v>
      </c>
      <c r="AO102" s="6">
        <f t="shared" si="21"/>
        <v>0.64326375711574957</v>
      </c>
      <c r="AP102" s="5">
        <f t="shared" si="22"/>
        <v>286</v>
      </c>
      <c r="AQ102" s="8">
        <f t="shared" si="16"/>
        <v>0.88</v>
      </c>
      <c r="AR102" s="6">
        <f t="shared" si="23"/>
        <v>0.69753320683111952</v>
      </c>
      <c r="AS102" s="6">
        <f t="shared" si="24"/>
        <v>0.96850660345411443</v>
      </c>
      <c r="AT102" s="6">
        <f t="shared" si="27"/>
        <v>8.7285490229559601E-2</v>
      </c>
      <c r="AU102" s="6">
        <f t="shared" si="26"/>
        <v>8.5748585148344797E-2</v>
      </c>
      <c r="AV102" s="5">
        <f t="shared" si="28"/>
        <v>0</v>
      </c>
      <c r="AW102" s="5">
        <f t="shared" si="29"/>
        <v>5</v>
      </c>
      <c r="AX102" s="5">
        <f t="shared" si="30"/>
        <v>0</v>
      </c>
      <c r="AY102" s="5">
        <f t="shared" si="31"/>
        <v>0</v>
      </c>
      <c r="AZ102" s="5">
        <f t="shared" si="25"/>
        <v>0</v>
      </c>
    </row>
    <row r="103" spans="1:52" x14ac:dyDescent="0.3">
      <c r="A103" s="5" t="s">
        <v>52</v>
      </c>
      <c r="B103" s="5" t="s">
        <v>56</v>
      </c>
      <c r="C103" s="5" t="s">
        <v>54</v>
      </c>
      <c r="D103" s="5" t="s">
        <v>56</v>
      </c>
      <c r="E103" s="5" t="s">
        <v>55</v>
      </c>
      <c r="F103" s="5">
        <v>2</v>
      </c>
      <c r="G103" s="5">
        <v>0.04</v>
      </c>
      <c r="H103" s="5" t="b">
        <v>0</v>
      </c>
      <c r="I103" s="5" t="b">
        <v>0</v>
      </c>
      <c r="J103" s="5" t="b">
        <v>0</v>
      </c>
      <c r="K103" s="5">
        <v>2.9529999999999998</v>
      </c>
      <c r="L103" s="5">
        <v>5.1999999999999998E-2</v>
      </c>
      <c r="M103" s="5">
        <v>-5.8000000000000003E-2</v>
      </c>
      <c r="N103" s="5">
        <v>22051.226999999999</v>
      </c>
      <c r="O103" s="5">
        <v>8.5000000000000006E-2</v>
      </c>
      <c r="P103" s="5">
        <v>5.0000000000000001E-3</v>
      </c>
      <c r="Q103" s="6">
        <v>1E-3</v>
      </c>
      <c r="R103" s="6">
        <v>0.18</v>
      </c>
      <c r="S103" s="7">
        <v>1287.154</v>
      </c>
      <c r="T103" s="5">
        <v>1838.375</v>
      </c>
      <c r="U103" s="5">
        <v>1.724</v>
      </c>
      <c r="V103" s="5">
        <v>2.2280000000000002</v>
      </c>
      <c r="W103" s="5">
        <v>1.353</v>
      </c>
      <c r="X103" s="5">
        <v>3.3809999999999998</v>
      </c>
      <c r="Y103" s="5">
        <v>8.69</v>
      </c>
      <c r="Z103" s="5">
        <v>3422</v>
      </c>
      <c r="AA103" s="5">
        <v>5270</v>
      </c>
      <c r="AB103" s="5">
        <v>3710</v>
      </c>
      <c r="AC103" s="5">
        <v>0.06</v>
      </c>
      <c r="AD103" s="5">
        <v>1</v>
      </c>
      <c r="AE103" s="5">
        <v>0</v>
      </c>
      <c r="AF103" s="5">
        <v>0</v>
      </c>
      <c r="AG103" s="5">
        <v>1</v>
      </c>
      <c r="AH103" s="5">
        <v>2.88</v>
      </c>
      <c r="AI103" s="5">
        <v>2.8633600000000001</v>
      </c>
      <c r="AJ103" s="5">
        <v>1.2999999999999999E-4</v>
      </c>
      <c r="AK103" s="5">
        <v>-3.1E-4</v>
      </c>
      <c r="AL103" s="5">
        <v>0</v>
      </c>
      <c r="AM103" s="5">
        <v>0</v>
      </c>
      <c r="AN103" s="5">
        <v>0.27300000000000002</v>
      </c>
      <c r="AO103" s="6">
        <f t="shared" si="21"/>
        <v>0.64933586337760907</v>
      </c>
      <c r="AP103" s="5">
        <f t="shared" si="22"/>
        <v>288</v>
      </c>
      <c r="AQ103" s="8">
        <f t="shared" si="16"/>
        <v>0.88615384615384618</v>
      </c>
      <c r="AR103" s="6">
        <f t="shared" si="23"/>
        <v>0.70398481973434535</v>
      </c>
      <c r="AS103" s="6">
        <f t="shared" si="24"/>
        <v>0.97527937690484245</v>
      </c>
      <c r="AT103" s="6">
        <f t="shared" si="27"/>
        <v>8.7375086238989708E-2</v>
      </c>
      <c r="AU103" s="6">
        <f t="shared" si="26"/>
        <v>0.17599436818021771</v>
      </c>
      <c r="AV103" s="5">
        <f t="shared" si="28"/>
        <v>0</v>
      </c>
      <c r="AW103" s="5">
        <f t="shared" si="29"/>
        <v>5</v>
      </c>
      <c r="AX103" s="5">
        <f t="shared" si="30"/>
        <v>0</v>
      </c>
      <c r="AY103" s="5">
        <f t="shared" si="31"/>
        <v>0</v>
      </c>
      <c r="AZ103" s="5">
        <f t="shared" si="25"/>
        <v>0</v>
      </c>
    </row>
    <row r="104" spans="1:52" x14ac:dyDescent="0.3">
      <c r="A104" s="5" t="s">
        <v>52</v>
      </c>
      <c r="B104" s="5" t="s">
        <v>56</v>
      </c>
      <c r="C104" s="5" t="s">
        <v>54</v>
      </c>
      <c r="D104" s="5" t="s">
        <v>56</v>
      </c>
      <c r="E104" s="5" t="s">
        <v>55</v>
      </c>
      <c r="F104" s="5">
        <v>2</v>
      </c>
      <c r="G104" s="5">
        <v>0.04</v>
      </c>
      <c r="H104" s="5" t="b">
        <v>0</v>
      </c>
      <c r="I104" s="5" t="b">
        <v>0</v>
      </c>
      <c r="J104" s="5" t="b">
        <v>0</v>
      </c>
      <c r="K104" s="5">
        <v>2.9529999999999998</v>
      </c>
      <c r="L104" s="5">
        <v>5.1999999999999998E-2</v>
      </c>
      <c r="M104" s="5">
        <v>-5.8000000000000003E-2</v>
      </c>
      <c r="N104" s="5">
        <v>41825.328999999998</v>
      </c>
      <c r="O104" s="5">
        <v>4.3999999999999997E-2</v>
      </c>
      <c r="P104" s="5">
        <v>5.0000000000000001E-3</v>
      </c>
      <c r="Q104" s="6">
        <v>1E-3</v>
      </c>
      <c r="R104" s="6">
        <v>0.18</v>
      </c>
      <c r="S104" s="7">
        <v>1298.577</v>
      </c>
      <c r="T104" s="5">
        <v>1838.375</v>
      </c>
      <c r="U104" s="5">
        <v>1.526</v>
      </c>
      <c r="V104" s="5">
        <v>2.2320000000000002</v>
      </c>
      <c r="W104" s="5">
        <v>1.4970000000000001</v>
      </c>
      <c r="X104" s="5">
        <v>3.5990000000000002</v>
      </c>
      <c r="Y104" s="5">
        <v>8.8569999999999993</v>
      </c>
      <c r="Z104" s="5">
        <v>3455</v>
      </c>
      <c r="AA104" s="5">
        <v>5270</v>
      </c>
      <c r="AB104" s="5">
        <v>3743</v>
      </c>
      <c r="AC104" s="5">
        <v>0.06</v>
      </c>
      <c r="AD104" s="5">
        <v>1</v>
      </c>
      <c r="AE104" s="5">
        <v>0</v>
      </c>
      <c r="AF104" s="5">
        <v>0</v>
      </c>
      <c r="AG104" s="5">
        <v>1</v>
      </c>
      <c r="AH104" s="5">
        <v>2.86</v>
      </c>
      <c r="AI104" s="5">
        <v>2.8792800000000001</v>
      </c>
      <c r="AJ104" s="5">
        <v>1.39E-3</v>
      </c>
      <c r="AK104" s="5">
        <v>3.5E-4</v>
      </c>
      <c r="AL104" s="5">
        <v>0</v>
      </c>
      <c r="AM104" s="5">
        <v>0</v>
      </c>
      <c r="AN104" s="5">
        <v>0.27300000000000002</v>
      </c>
      <c r="AO104" s="6">
        <f t="shared" si="21"/>
        <v>0.65559772296015184</v>
      </c>
      <c r="AP104" s="5">
        <f t="shared" si="22"/>
        <v>288</v>
      </c>
      <c r="AQ104" s="8">
        <f t="shared" si="16"/>
        <v>0.88615384615384618</v>
      </c>
      <c r="AR104" s="6">
        <f t="shared" si="23"/>
        <v>0.71024667931688801</v>
      </c>
      <c r="AS104" s="6">
        <f t="shared" si="24"/>
        <v>0.97527937690484245</v>
      </c>
      <c r="AT104" s="6">
        <f t="shared" si="27"/>
        <v>6.9817365231176626E-2</v>
      </c>
      <c r="AU104" s="6">
        <f t="shared" si="26"/>
        <v>0</v>
      </c>
      <c r="AV104" s="5">
        <f t="shared" si="28"/>
        <v>0</v>
      </c>
      <c r="AW104" s="5">
        <f t="shared" si="29"/>
        <v>5</v>
      </c>
      <c r="AX104" s="5">
        <f t="shared" si="30"/>
        <v>0</v>
      </c>
      <c r="AY104" s="5">
        <f t="shared" si="31"/>
        <v>0</v>
      </c>
      <c r="AZ104" s="5">
        <f t="shared" si="25"/>
        <v>0</v>
      </c>
    </row>
    <row r="105" spans="1:52" x14ac:dyDescent="0.3">
      <c r="A105" s="5" t="s">
        <v>52</v>
      </c>
      <c r="B105" s="5" t="s">
        <v>56</v>
      </c>
      <c r="C105" s="5" t="s">
        <v>54</v>
      </c>
      <c r="D105" s="5" t="s">
        <v>56</v>
      </c>
      <c r="E105" s="5" t="s">
        <v>55</v>
      </c>
      <c r="F105" s="5">
        <v>2</v>
      </c>
      <c r="G105" s="5">
        <v>0.04</v>
      </c>
      <c r="H105" s="5" t="b">
        <v>0</v>
      </c>
      <c r="I105" s="5" t="b">
        <v>0</v>
      </c>
      <c r="J105" s="5" t="b">
        <v>0</v>
      </c>
      <c r="K105" s="5">
        <v>2.9529999999999998</v>
      </c>
      <c r="L105" s="5">
        <v>5.1999999999999998E-2</v>
      </c>
      <c r="M105" s="5">
        <v>-5.8000000000000003E-2</v>
      </c>
      <c r="N105" s="5">
        <v>20792.026000000002</v>
      </c>
      <c r="O105" s="5">
        <v>8.6999999999999994E-2</v>
      </c>
      <c r="P105" s="5">
        <v>5.0000000000000001E-3</v>
      </c>
      <c r="Q105" s="6">
        <v>1E-3</v>
      </c>
      <c r="R105" s="6">
        <v>0.18</v>
      </c>
      <c r="S105" s="7">
        <v>1310.5650000000001</v>
      </c>
      <c r="T105" s="5">
        <v>1838.375</v>
      </c>
      <c r="U105" s="5">
        <v>1.66</v>
      </c>
      <c r="V105" s="5">
        <v>2.3580000000000001</v>
      </c>
      <c r="W105" s="5">
        <v>1.742</v>
      </c>
      <c r="X105" s="5">
        <v>3.7280000000000002</v>
      </c>
      <c r="Y105" s="5">
        <v>9.4930000000000003</v>
      </c>
      <c r="Z105" s="5">
        <v>3490</v>
      </c>
      <c r="AA105" s="5">
        <v>5270</v>
      </c>
      <c r="AB105" s="5">
        <v>3777</v>
      </c>
      <c r="AC105" s="5">
        <v>0.06</v>
      </c>
      <c r="AD105" s="5">
        <v>1</v>
      </c>
      <c r="AE105" s="5">
        <v>0</v>
      </c>
      <c r="AF105" s="5">
        <v>0</v>
      </c>
      <c r="AG105" s="5">
        <v>1</v>
      </c>
      <c r="AH105" s="5">
        <v>2.9</v>
      </c>
      <c r="AI105" s="5">
        <v>2.8869899999999999</v>
      </c>
      <c r="AJ105" s="5">
        <v>6.4000000000000005E-4</v>
      </c>
      <c r="AK105" s="5">
        <v>3.3E-4</v>
      </c>
      <c r="AL105" s="5">
        <v>0</v>
      </c>
      <c r="AM105" s="5">
        <v>0</v>
      </c>
      <c r="AN105" s="5">
        <v>0.27700000000000002</v>
      </c>
      <c r="AO105" s="6">
        <f t="shared" si="21"/>
        <v>0.66223908918406071</v>
      </c>
      <c r="AP105" s="5">
        <f t="shared" si="22"/>
        <v>287</v>
      </c>
      <c r="AQ105" s="8">
        <f t="shared" si="16"/>
        <v>0.88307692307692309</v>
      </c>
      <c r="AR105" s="6">
        <f t="shared" si="23"/>
        <v>0.71669829222011383</v>
      </c>
      <c r="AS105" s="6">
        <f t="shared" si="24"/>
        <v>0.9718929901794785</v>
      </c>
      <c r="AT105" s="6">
        <f t="shared" si="27"/>
        <v>3.5665240649029227E-2</v>
      </c>
      <c r="AU105" s="6">
        <f t="shared" si="26"/>
        <v>-8.3416750083416355E-2</v>
      </c>
      <c r="AV105" s="5">
        <f t="shared" si="28"/>
        <v>0</v>
      </c>
      <c r="AW105" s="5">
        <f t="shared" si="29"/>
        <v>5</v>
      </c>
      <c r="AX105" s="5">
        <f t="shared" si="30"/>
        <v>0</v>
      </c>
      <c r="AY105" s="5">
        <f t="shared" si="31"/>
        <v>0</v>
      </c>
      <c r="AZ105" s="5">
        <f t="shared" si="25"/>
        <v>0</v>
      </c>
    </row>
    <row r="106" spans="1:52" x14ac:dyDescent="0.3">
      <c r="A106" s="5" t="s">
        <v>52</v>
      </c>
      <c r="B106" s="5" t="s">
        <v>56</v>
      </c>
      <c r="C106" s="5" t="s">
        <v>54</v>
      </c>
      <c r="D106" s="5" t="s">
        <v>56</v>
      </c>
      <c r="E106" s="5" t="s">
        <v>55</v>
      </c>
      <c r="F106" s="5">
        <v>2</v>
      </c>
      <c r="G106" s="5">
        <v>0.04</v>
      </c>
      <c r="H106" s="5" t="b">
        <v>0</v>
      </c>
      <c r="I106" s="5" t="b">
        <v>0</v>
      </c>
      <c r="J106" s="5" t="b">
        <v>0</v>
      </c>
      <c r="K106" s="5">
        <v>2.9529999999999998</v>
      </c>
      <c r="L106" s="5">
        <v>5.1999999999999998E-2</v>
      </c>
      <c r="M106" s="5">
        <v>-5.8000000000000003E-2</v>
      </c>
      <c r="N106" s="5">
        <v>10992.869000000001</v>
      </c>
      <c r="O106" s="5">
        <v>0.16200000000000001</v>
      </c>
      <c r="P106" s="5">
        <v>5.0000000000000001E-3</v>
      </c>
      <c r="Q106" s="6">
        <v>1E-3</v>
      </c>
      <c r="R106" s="6">
        <v>0.18</v>
      </c>
      <c r="S106" s="7">
        <v>1323.1959999999999</v>
      </c>
      <c r="T106" s="5">
        <v>1838.375</v>
      </c>
      <c r="U106" s="5">
        <v>4.0519999999999996</v>
      </c>
      <c r="V106" s="5">
        <v>2.2429999999999999</v>
      </c>
      <c r="W106" s="5">
        <v>1.538</v>
      </c>
      <c r="X106" s="5">
        <v>3.5750000000000002</v>
      </c>
      <c r="Y106" s="5">
        <v>11.412000000000001</v>
      </c>
      <c r="Z106" s="5">
        <v>3527</v>
      </c>
      <c r="AA106" s="5">
        <v>5270</v>
      </c>
      <c r="AB106" s="5">
        <v>3815</v>
      </c>
      <c r="AC106" s="5">
        <v>0.06</v>
      </c>
      <c r="AD106" s="5">
        <v>1</v>
      </c>
      <c r="AE106" s="5">
        <v>0</v>
      </c>
      <c r="AF106" s="5">
        <v>0</v>
      </c>
      <c r="AG106" s="5">
        <v>1</v>
      </c>
      <c r="AH106" s="5">
        <v>2.86</v>
      </c>
      <c r="AI106" s="5">
        <v>2.8950100000000001</v>
      </c>
      <c r="AJ106" s="5">
        <v>6.3000000000000003E-4</v>
      </c>
      <c r="AK106" s="5">
        <v>2.7999999999999998E-4</v>
      </c>
      <c r="AL106" s="5">
        <v>0</v>
      </c>
      <c r="AM106" s="5">
        <v>0</v>
      </c>
      <c r="AN106" s="5">
        <v>0.27700000000000002</v>
      </c>
      <c r="AO106" s="6">
        <f t="shared" si="21"/>
        <v>0.66925996204933591</v>
      </c>
      <c r="AP106" s="5">
        <f t="shared" si="22"/>
        <v>288</v>
      </c>
      <c r="AQ106" s="8">
        <f t="shared" si="16"/>
        <v>0.88615384615384618</v>
      </c>
      <c r="AR106" s="6">
        <f t="shared" si="23"/>
        <v>0.72390891840607208</v>
      </c>
      <c r="AS106" s="6">
        <f t="shared" si="24"/>
        <v>0.97527937690484245</v>
      </c>
      <c r="AT106" s="6">
        <f t="shared" si="27"/>
        <v>5.1499299710069703E-2</v>
      </c>
      <c r="AU106" s="6">
        <f t="shared" si="26"/>
        <v>7.9170295305202379E-2</v>
      </c>
      <c r="AV106" s="5">
        <f t="shared" si="28"/>
        <v>0</v>
      </c>
      <c r="AW106" s="5">
        <f t="shared" si="29"/>
        <v>5</v>
      </c>
      <c r="AX106" s="5">
        <f t="shared" si="30"/>
        <v>0</v>
      </c>
      <c r="AY106" s="5">
        <f t="shared" si="31"/>
        <v>0</v>
      </c>
      <c r="AZ106" s="5">
        <f t="shared" si="25"/>
        <v>0</v>
      </c>
    </row>
    <row r="107" spans="1:52" x14ac:dyDescent="0.3">
      <c r="A107" s="5" t="s">
        <v>52</v>
      </c>
      <c r="B107" s="5" t="s">
        <v>56</v>
      </c>
      <c r="C107" s="5" t="s">
        <v>54</v>
      </c>
      <c r="D107" s="5" t="s">
        <v>56</v>
      </c>
      <c r="E107" s="5" t="s">
        <v>55</v>
      </c>
      <c r="F107" s="5">
        <v>2</v>
      </c>
      <c r="G107" s="5">
        <v>0.04</v>
      </c>
      <c r="H107" s="5" t="b">
        <v>0</v>
      </c>
      <c r="I107" s="5" t="b">
        <v>0</v>
      </c>
      <c r="J107" s="5" t="b">
        <v>0</v>
      </c>
      <c r="K107" s="5">
        <v>2.9529999999999998</v>
      </c>
      <c r="L107" s="5">
        <v>5.1999999999999998E-2</v>
      </c>
      <c r="M107" s="5">
        <v>-5.8000000000000003E-2</v>
      </c>
      <c r="N107" s="5">
        <v>5362.7659999999996</v>
      </c>
      <c r="O107" s="5">
        <v>0.32500000000000001</v>
      </c>
      <c r="P107" s="5">
        <v>5.0000000000000001E-3</v>
      </c>
      <c r="Q107" s="6">
        <v>1E-3</v>
      </c>
      <c r="R107" s="6">
        <v>0.18</v>
      </c>
      <c r="S107" s="7">
        <v>1337.8989999999999</v>
      </c>
      <c r="T107" s="5">
        <v>1838.375</v>
      </c>
      <c r="U107" s="5">
        <v>1.7509999999999999</v>
      </c>
      <c r="V107" s="5">
        <v>2.4300000000000002</v>
      </c>
      <c r="W107" s="5">
        <v>1.766</v>
      </c>
      <c r="X107" s="5">
        <v>3.8359999999999999</v>
      </c>
      <c r="Y107" s="5">
        <v>9.7870000000000008</v>
      </c>
      <c r="Z107" s="5">
        <v>3568</v>
      </c>
      <c r="AA107" s="5">
        <v>5270</v>
      </c>
      <c r="AB107" s="5">
        <v>3858</v>
      </c>
      <c r="AC107" s="5">
        <v>0.06</v>
      </c>
      <c r="AD107" s="5">
        <v>1</v>
      </c>
      <c r="AE107" s="5">
        <v>0</v>
      </c>
      <c r="AF107" s="5">
        <v>0</v>
      </c>
      <c r="AG107" s="5">
        <v>1</v>
      </c>
      <c r="AH107" s="5">
        <v>2.84</v>
      </c>
      <c r="AI107" s="5">
        <v>2.8659400000000002</v>
      </c>
      <c r="AJ107" s="5">
        <v>-1.98E-3</v>
      </c>
      <c r="AK107" s="5">
        <v>6.0000000000000002E-5</v>
      </c>
      <c r="AL107" s="5">
        <v>0</v>
      </c>
      <c r="AM107" s="5">
        <v>0</v>
      </c>
      <c r="AN107" s="5">
        <v>0.27700000000000002</v>
      </c>
      <c r="AO107" s="6">
        <f t="shared" si="21"/>
        <v>0.67703984819734342</v>
      </c>
      <c r="AP107" s="5">
        <f t="shared" si="22"/>
        <v>290</v>
      </c>
      <c r="AQ107" s="8">
        <f t="shared" si="16"/>
        <v>0.89230769230769236</v>
      </c>
      <c r="AR107" s="6">
        <f t="shared" si="23"/>
        <v>0.73206831119544591</v>
      </c>
      <c r="AS107" s="6">
        <f t="shared" si="24"/>
        <v>0.98205215035557059</v>
      </c>
      <c r="AT107" s="6">
        <f t="shared" si="27"/>
        <v>6.1554914925520829E-2</v>
      </c>
      <c r="AU107" s="6">
        <f t="shared" si="26"/>
        <v>0.13602666122560045</v>
      </c>
      <c r="AV107" s="5">
        <f t="shared" si="28"/>
        <v>0</v>
      </c>
      <c r="AW107" s="5">
        <f t="shared" si="29"/>
        <v>5</v>
      </c>
      <c r="AX107" s="5">
        <f t="shared" si="30"/>
        <v>0</v>
      </c>
      <c r="AY107" s="5">
        <f t="shared" si="31"/>
        <v>0</v>
      </c>
      <c r="AZ107" s="5">
        <f t="shared" si="25"/>
        <v>0</v>
      </c>
    </row>
    <row r="108" spans="1:52" x14ac:dyDescent="0.3">
      <c r="A108" s="5" t="s">
        <v>52</v>
      </c>
      <c r="B108" s="5" t="s">
        <v>56</v>
      </c>
      <c r="C108" s="5" t="s">
        <v>54</v>
      </c>
      <c r="D108" s="5" t="s">
        <v>56</v>
      </c>
      <c r="E108" s="5" t="s">
        <v>55</v>
      </c>
      <c r="F108" s="5">
        <v>2</v>
      </c>
      <c r="G108" s="5">
        <v>0.04</v>
      </c>
      <c r="H108" s="5" t="b">
        <v>0</v>
      </c>
      <c r="I108" s="5" t="b">
        <v>0</v>
      </c>
      <c r="J108" s="5" t="b">
        <v>0</v>
      </c>
      <c r="K108" s="5">
        <v>2.9529999999999998</v>
      </c>
      <c r="L108" s="5">
        <v>5.1999999999999998E-2</v>
      </c>
      <c r="M108" s="5">
        <v>-5.8000000000000003E-2</v>
      </c>
      <c r="N108" s="5">
        <v>18598.227999999999</v>
      </c>
      <c r="O108" s="5">
        <v>9.1999999999999998E-2</v>
      </c>
      <c r="P108" s="5">
        <v>5.0000000000000001E-3</v>
      </c>
      <c r="Q108" s="6">
        <v>1E-3</v>
      </c>
      <c r="R108" s="6">
        <v>0.18</v>
      </c>
      <c r="S108" s="7">
        <v>1350.7560000000001</v>
      </c>
      <c r="T108" s="5">
        <v>1838.375</v>
      </c>
      <c r="U108" s="5">
        <v>1.6639999999999999</v>
      </c>
      <c r="V108" s="5">
        <v>2.4449999999999998</v>
      </c>
      <c r="W108" s="5">
        <v>1.708</v>
      </c>
      <c r="X108" s="5">
        <v>3.6429999999999998</v>
      </c>
      <c r="Y108" s="5">
        <v>9.4619999999999997</v>
      </c>
      <c r="Z108" s="5">
        <v>3605</v>
      </c>
      <c r="AA108" s="5">
        <v>5270</v>
      </c>
      <c r="AB108" s="5">
        <v>3896</v>
      </c>
      <c r="AC108" s="5">
        <v>0.06</v>
      </c>
      <c r="AD108" s="5">
        <v>1</v>
      </c>
      <c r="AE108" s="5">
        <v>0</v>
      </c>
      <c r="AF108" s="5">
        <v>0</v>
      </c>
      <c r="AG108" s="5">
        <v>1</v>
      </c>
      <c r="AH108" s="5">
        <v>2.88</v>
      </c>
      <c r="AI108" s="5">
        <v>2.8772899999999999</v>
      </c>
      <c r="AJ108" s="5">
        <v>8.8000000000000003E-4</v>
      </c>
      <c r="AK108" s="5">
        <v>2.2000000000000001E-4</v>
      </c>
      <c r="AL108" s="5">
        <v>0</v>
      </c>
      <c r="AM108" s="5">
        <v>0</v>
      </c>
      <c r="AN108" s="5">
        <v>0.26600000000000001</v>
      </c>
      <c r="AO108" s="6">
        <f t="shared" si="21"/>
        <v>0.68406072106261862</v>
      </c>
      <c r="AP108" s="5">
        <f t="shared" si="22"/>
        <v>291</v>
      </c>
      <c r="AQ108" s="8">
        <f t="shared" si="16"/>
        <v>0.89538461538461533</v>
      </c>
      <c r="AR108" s="6">
        <f t="shared" si="23"/>
        <v>0.73927893738140416</v>
      </c>
      <c r="AS108" s="6">
        <f t="shared" si="24"/>
        <v>0.98543853708093465</v>
      </c>
      <c r="AT108" s="6">
        <f t="shared" si="27"/>
        <v>4.1911769686459245E-2</v>
      </c>
      <c r="AU108" s="6">
        <f t="shared" si="26"/>
        <v>7.7778641984909747E-2</v>
      </c>
      <c r="AV108" s="5">
        <f t="shared" si="28"/>
        <v>0</v>
      </c>
      <c r="AW108" s="5">
        <f t="shared" si="29"/>
        <v>5</v>
      </c>
      <c r="AX108" s="5">
        <f t="shared" si="30"/>
        <v>0</v>
      </c>
      <c r="AY108" s="5">
        <f t="shared" si="31"/>
        <v>0</v>
      </c>
      <c r="AZ108" s="5">
        <f t="shared" si="25"/>
        <v>0</v>
      </c>
    </row>
    <row r="109" spans="1:52" x14ac:dyDescent="0.3">
      <c r="A109" s="5" t="s">
        <v>52</v>
      </c>
      <c r="B109" s="5" t="s">
        <v>56</v>
      </c>
      <c r="C109" s="5" t="s">
        <v>54</v>
      </c>
      <c r="D109" s="5" t="s">
        <v>56</v>
      </c>
      <c r="E109" s="5" t="s">
        <v>55</v>
      </c>
      <c r="F109" s="5">
        <v>2</v>
      </c>
      <c r="G109" s="5">
        <v>0.04</v>
      </c>
      <c r="H109" s="5" t="b">
        <v>0</v>
      </c>
      <c r="I109" s="5" t="b">
        <v>0</v>
      </c>
      <c r="J109" s="5" t="b">
        <v>0</v>
      </c>
      <c r="K109" s="5">
        <v>2.9529999999999998</v>
      </c>
      <c r="L109" s="5">
        <v>5.1999999999999998E-2</v>
      </c>
      <c r="M109" s="5">
        <v>-5.8000000000000003E-2</v>
      </c>
      <c r="N109" s="5">
        <v>-14517.275</v>
      </c>
      <c r="O109" s="5">
        <v>-0.115</v>
      </c>
      <c r="P109" s="5">
        <v>5.0000000000000001E-3</v>
      </c>
      <c r="Q109" s="6">
        <v>1E-3</v>
      </c>
      <c r="R109" s="6">
        <v>0.18</v>
      </c>
      <c r="S109" s="7">
        <v>1363.3979999999999</v>
      </c>
      <c r="T109" s="5">
        <v>1838.375</v>
      </c>
      <c r="U109" s="5">
        <v>1.6879999999999999</v>
      </c>
      <c r="V109" s="5">
        <v>2.1890000000000001</v>
      </c>
      <c r="W109" s="5">
        <v>1.659</v>
      </c>
      <c r="X109" s="5">
        <v>3.702</v>
      </c>
      <c r="Y109" s="5">
        <v>9.2409999999999997</v>
      </c>
      <c r="Z109" s="5">
        <v>3642</v>
      </c>
      <c r="AA109" s="5">
        <v>5270</v>
      </c>
      <c r="AB109" s="5">
        <v>3933</v>
      </c>
      <c r="AC109" s="5">
        <v>0.06</v>
      </c>
      <c r="AD109" s="5">
        <v>1</v>
      </c>
      <c r="AE109" s="5">
        <v>0</v>
      </c>
      <c r="AF109" s="5">
        <v>0</v>
      </c>
      <c r="AG109" s="5">
        <v>1</v>
      </c>
      <c r="AH109" s="5">
        <v>2.88</v>
      </c>
      <c r="AI109" s="5">
        <v>2.88483</v>
      </c>
      <c r="AJ109" s="5">
        <v>5.9999999999999995E-4</v>
      </c>
      <c r="AK109" s="5">
        <v>9.0000000000000006E-5</v>
      </c>
      <c r="AL109" s="5">
        <v>0</v>
      </c>
      <c r="AM109" s="5">
        <v>0</v>
      </c>
      <c r="AN109" s="5">
        <v>0.27300000000000002</v>
      </c>
      <c r="AO109" s="6">
        <f t="shared" si="21"/>
        <v>0.6910815939278937</v>
      </c>
      <c r="AP109" s="5">
        <f t="shared" si="22"/>
        <v>291</v>
      </c>
      <c r="AQ109" s="8">
        <f t="shared" si="16"/>
        <v>0.89538461538461533</v>
      </c>
      <c r="AR109" s="6">
        <f t="shared" si="23"/>
        <v>0.74629981024667935</v>
      </c>
      <c r="AS109" s="6">
        <f t="shared" si="24"/>
        <v>0.98543853708093465</v>
      </c>
      <c r="AT109" s="6">
        <f t="shared" si="27"/>
        <v>4.1911769686459245E-2</v>
      </c>
      <c r="AU109" s="6">
        <f t="shared" si="26"/>
        <v>0</v>
      </c>
      <c r="AV109" s="5">
        <f t="shared" si="28"/>
        <v>0</v>
      </c>
      <c r="AW109" s="5">
        <f t="shared" si="29"/>
        <v>5</v>
      </c>
      <c r="AX109" s="5">
        <f t="shared" si="30"/>
        <v>0</v>
      </c>
      <c r="AY109" s="5">
        <f t="shared" si="31"/>
        <v>0</v>
      </c>
      <c r="AZ109" s="5">
        <f t="shared" si="25"/>
        <v>0</v>
      </c>
    </row>
    <row r="110" spans="1:52" x14ac:dyDescent="0.3">
      <c r="A110" s="5" t="s">
        <v>52</v>
      </c>
      <c r="B110" s="5" t="s">
        <v>56</v>
      </c>
      <c r="C110" s="5" t="s">
        <v>54</v>
      </c>
      <c r="D110" s="5" t="s">
        <v>58</v>
      </c>
      <c r="E110" s="5" t="s">
        <v>55</v>
      </c>
      <c r="F110" s="5">
        <v>2</v>
      </c>
      <c r="G110" s="5">
        <v>0.04</v>
      </c>
      <c r="H110" s="5" t="b">
        <v>0</v>
      </c>
      <c r="I110" s="5" t="b">
        <v>0</v>
      </c>
      <c r="J110" s="5" t="b">
        <v>0</v>
      </c>
      <c r="K110" s="5">
        <v>2.9529999999999998</v>
      </c>
      <c r="L110" s="5">
        <v>5.1999999999999998E-2</v>
      </c>
      <c r="M110" s="5">
        <v>-5.8000000000000003E-2</v>
      </c>
      <c r="N110" s="5">
        <v>0</v>
      </c>
      <c r="O110" s="5">
        <v>0</v>
      </c>
      <c r="P110" s="5">
        <v>5.0000000000000001E-3</v>
      </c>
      <c r="Q110" s="6">
        <v>1E-3</v>
      </c>
      <c r="R110" s="6">
        <v>0.18</v>
      </c>
      <c r="S110" s="7">
        <v>1375.7850000000001</v>
      </c>
      <c r="T110" s="5">
        <v>1838.375</v>
      </c>
      <c r="U110" s="5">
        <v>1.8959999999999999</v>
      </c>
      <c r="V110" s="5">
        <v>2.2669999999999999</v>
      </c>
      <c r="W110" s="5">
        <v>1.476</v>
      </c>
      <c r="X110" s="5">
        <v>4.0960000000000001</v>
      </c>
      <c r="Y110" s="5">
        <v>9.7379999999999995</v>
      </c>
      <c r="Z110" s="5">
        <v>3678</v>
      </c>
      <c r="AA110" s="5">
        <v>5270</v>
      </c>
      <c r="AB110" s="5">
        <v>3970</v>
      </c>
      <c r="AC110" s="5">
        <v>0.06</v>
      </c>
      <c r="AD110" s="5">
        <v>1</v>
      </c>
      <c r="AE110" s="5">
        <v>0.08</v>
      </c>
      <c r="AF110" s="5">
        <v>0</v>
      </c>
      <c r="AG110" s="5">
        <v>1</v>
      </c>
      <c r="AH110" s="5">
        <v>2.9</v>
      </c>
      <c r="AI110" s="5">
        <v>2.8825699999999999</v>
      </c>
      <c r="AJ110" s="5">
        <v>-1.8000000000000001E-4</v>
      </c>
      <c r="AK110" s="5">
        <v>-6.9999999999999994E-5</v>
      </c>
      <c r="AL110" s="5">
        <v>0</v>
      </c>
      <c r="AM110" s="5">
        <v>0</v>
      </c>
      <c r="AN110" s="5">
        <v>0.27700000000000002</v>
      </c>
      <c r="AO110" s="6">
        <f t="shared" si="21"/>
        <v>0.69791271347248574</v>
      </c>
      <c r="AP110" s="5">
        <f t="shared" si="22"/>
        <v>292</v>
      </c>
      <c r="AQ110" s="8">
        <f t="shared" si="16"/>
        <v>0.89846153846153842</v>
      </c>
      <c r="AR110" s="6">
        <f t="shared" si="23"/>
        <v>0.75332068311195444</v>
      </c>
      <c r="AS110" s="6">
        <f t="shared" si="24"/>
        <v>0.98882492380629861</v>
      </c>
      <c r="AT110" s="6">
        <f t="shared" si="27"/>
        <v>7.474107917678402E-2</v>
      </c>
      <c r="AU110" s="6">
        <f t="shared" si="26"/>
        <v>8.0729797368207498E-2</v>
      </c>
      <c r="AV110" s="5">
        <f t="shared" si="28"/>
        <v>0</v>
      </c>
      <c r="AW110" s="5">
        <f t="shared" si="29"/>
        <v>5</v>
      </c>
      <c r="AX110" s="5">
        <f t="shared" si="30"/>
        <v>0</v>
      </c>
      <c r="AY110" s="5">
        <f t="shared" si="31"/>
        <v>0</v>
      </c>
      <c r="AZ110" s="5">
        <f t="shared" si="25"/>
        <v>0</v>
      </c>
    </row>
    <row r="111" spans="1:52" x14ac:dyDescent="0.3">
      <c r="A111" s="5" t="s">
        <v>52</v>
      </c>
      <c r="B111" s="5" t="s">
        <v>56</v>
      </c>
      <c r="C111" s="5" t="s">
        <v>54</v>
      </c>
      <c r="D111" s="5" t="s">
        <v>56</v>
      </c>
      <c r="E111" s="5" t="s">
        <v>55</v>
      </c>
      <c r="F111" s="5">
        <v>2</v>
      </c>
      <c r="G111" s="5">
        <v>0.04</v>
      </c>
      <c r="H111" s="5" t="b">
        <v>0</v>
      </c>
      <c r="I111" s="5" t="b">
        <v>0</v>
      </c>
      <c r="J111" s="5" t="b">
        <v>0</v>
      </c>
      <c r="K111" s="5">
        <v>2.9529999999999998</v>
      </c>
      <c r="L111" s="5">
        <v>5.1999999999999998E-2</v>
      </c>
      <c r="M111" s="5">
        <v>-5.8000000000000003E-2</v>
      </c>
      <c r="N111" s="5">
        <v>20505.425999999999</v>
      </c>
      <c r="O111" s="5">
        <v>7.8E-2</v>
      </c>
      <c r="P111" s="5">
        <v>5.0000000000000001E-3</v>
      </c>
      <c r="Q111" s="6">
        <v>1E-3</v>
      </c>
      <c r="R111" s="6">
        <v>0.18</v>
      </c>
      <c r="S111" s="7">
        <v>1388.5809999999999</v>
      </c>
      <c r="T111" s="5">
        <v>1838.375</v>
      </c>
      <c r="U111" s="5">
        <v>1.5880000000000001</v>
      </c>
      <c r="V111" s="5">
        <v>2.3359999999999999</v>
      </c>
      <c r="W111" s="5">
        <v>1.5589999999999999</v>
      </c>
      <c r="X111" s="5">
        <v>3.8580000000000001</v>
      </c>
      <c r="Y111" s="5">
        <v>9.3439999999999994</v>
      </c>
      <c r="Z111" s="5">
        <v>3714</v>
      </c>
      <c r="AA111" s="5">
        <v>5270</v>
      </c>
      <c r="AB111" s="5">
        <v>4008</v>
      </c>
      <c r="AC111" s="5">
        <v>0.06</v>
      </c>
      <c r="AD111" s="5">
        <v>1</v>
      </c>
      <c r="AE111" s="5">
        <v>0</v>
      </c>
      <c r="AF111" s="5">
        <v>0</v>
      </c>
      <c r="AG111" s="5">
        <v>1</v>
      </c>
      <c r="AH111" s="5">
        <v>2.9</v>
      </c>
      <c r="AI111" s="5">
        <v>2.8599700000000001</v>
      </c>
      <c r="AJ111" s="5">
        <v>-1.7700000000000001E-3</v>
      </c>
      <c r="AK111" s="5">
        <v>-5.4000000000000001E-4</v>
      </c>
      <c r="AL111" s="5">
        <v>0</v>
      </c>
      <c r="AM111" s="5">
        <v>0</v>
      </c>
      <c r="AN111" s="5">
        <v>0.27700000000000002</v>
      </c>
      <c r="AO111" s="6">
        <f t="shared" si="21"/>
        <v>0.70474383301707777</v>
      </c>
      <c r="AP111" s="5">
        <f t="shared" si="22"/>
        <v>294</v>
      </c>
      <c r="AQ111" s="8">
        <f t="shared" si="16"/>
        <v>0.9046153846153846</v>
      </c>
      <c r="AR111" s="6">
        <f t="shared" si="23"/>
        <v>0.76053130929791268</v>
      </c>
      <c r="AS111" s="6">
        <f t="shared" si="24"/>
        <v>0.99559769725702674</v>
      </c>
      <c r="AT111" s="6">
        <f t="shared" si="27"/>
        <v>9.0166788793455757E-2</v>
      </c>
      <c r="AU111" s="6">
        <f t="shared" si="26"/>
        <v>0.15629884338856109</v>
      </c>
      <c r="AV111" s="5">
        <f t="shared" si="28"/>
        <v>0</v>
      </c>
      <c r="AW111" s="5">
        <f t="shared" si="29"/>
        <v>5</v>
      </c>
      <c r="AX111" s="5">
        <f t="shared" si="30"/>
        <v>0</v>
      </c>
      <c r="AY111" s="5">
        <f t="shared" si="31"/>
        <v>0</v>
      </c>
      <c r="AZ111" s="5">
        <f t="shared" si="25"/>
        <v>0</v>
      </c>
    </row>
    <row r="112" spans="1:52" x14ac:dyDescent="0.3">
      <c r="A112" s="5" t="s">
        <v>52</v>
      </c>
      <c r="B112" s="5" t="s">
        <v>56</v>
      </c>
      <c r="C112" s="5" t="s">
        <v>54</v>
      </c>
      <c r="D112" s="5" t="s">
        <v>56</v>
      </c>
      <c r="E112" s="5" t="s">
        <v>55</v>
      </c>
      <c r="F112" s="5">
        <v>2</v>
      </c>
      <c r="G112" s="5">
        <v>0.04</v>
      </c>
      <c r="H112" s="5" t="b">
        <v>0</v>
      </c>
      <c r="I112" s="5" t="b">
        <v>0</v>
      </c>
      <c r="J112" s="5" t="b">
        <v>0</v>
      </c>
      <c r="K112" s="5">
        <v>2.9529999999999998</v>
      </c>
      <c r="L112" s="5">
        <v>5.1999999999999998E-2</v>
      </c>
      <c r="M112" s="5">
        <v>-5.8000000000000003E-2</v>
      </c>
      <c r="N112" s="5">
        <v>13192.41</v>
      </c>
      <c r="O112" s="5">
        <v>0.11799999999999999</v>
      </c>
      <c r="P112" s="5">
        <v>5.0000000000000001E-3</v>
      </c>
      <c r="Q112" s="6">
        <v>1E-3</v>
      </c>
      <c r="R112" s="6">
        <v>0.18</v>
      </c>
      <c r="S112" s="7">
        <v>1401.03</v>
      </c>
      <c r="T112" s="5">
        <v>1838.375</v>
      </c>
      <c r="U112" s="5">
        <v>1.599</v>
      </c>
      <c r="V112" s="5">
        <v>2.2080000000000002</v>
      </c>
      <c r="W112" s="5">
        <v>1.7270000000000001</v>
      </c>
      <c r="X112" s="5">
        <v>4.6120000000000001</v>
      </c>
      <c r="Y112" s="5">
        <v>10.148999999999999</v>
      </c>
      <c r="Z112" s="5">
        <v>3749</v>
      </c>
      <c r="AA112" s="5">
        <v>5270</v>
      </c>
      <c r="AB112" s="5">
        <v>4045</v>
      </c>
      <c r="AC112" s="5">
        <v>0.06</v>
      </c>
      <c r="AD112" s="5">
        <v>1</v>
      </c>
      <c r="AE112" s="5">
        <v>0</v>
      </c>
      <c r="AF112" s="5">
        <v>0</v>
      </c>
      <c r="AG112" s="5">
        <v>1</v>
      </c>
      <c r="AH112" s="5">
        <v>2.88</v>
      </c>
      <c r="AI112" s="5">
        <v>2.86707</v>
      </c>
      <c r="AJ112" s="5">
        <v>5.6999999999999998E-4</v>
      </c>
      <c r="AK112" s="5">
        <v>2.0000000000000002E-5</v>
      </c>
      <c r="AL112" s="5">
        <v>0</v>
      </c>
      <c r="AM112" s="5">
        <v>0</v>
      </c>
      <c r="AN112" s="5">
        <v>0.27300000000000002</v>
      </c>
      <c r="AO112" s="6">
        <f t="shared" si="21"/>
        <v>0.71138519924098675</v>
      </c>
      <c r="AP112" s="5">
        <f t="shared" si="22"/>
        <v>296</v>
      </c>
      <c r="AQ112" s="8">
        <f t="shared" si="16"/>
        <v>0.91076923076923078</v>
      </c>
      <c r="AR112" s="6">
        <f t="shared" si="23"/>
        <v>0.76755218216318788</v>
      </c>
      <c r="AS112" s="6">
        <f t="shared" si="24"/>
        <v>1.0023704707077548</v>
      </c>
      <c r="AT112" s="6">
        <f t="shared" si="27"/>
        <v>9.5092551415393092E-2</v>
      </c>
      <c r="AU112" s="6">
        <f t="shared" si="26"/>
        <v>0.1606554743352871</v>
      </c>
      <c r="AV112" s="5">
        <f t="shared" si="28"/>
        <v>0</v>
      </c>
      <c r="AW112" s="5">
        <f t="shared" si="29"/>
        <v>5</v>
      </c>
      <c r="AX112" s="5">
        <f t="shared" si="30"/>
        <v>0</v>
      </c>
      <c r="AY112" s="5">
        <f t="shared" si="31"/>
        <v>0</v>
      </c>
      <c r="AZ112" s="5">
        <f t="shared" si="25"/>
        <v>0</v>
      </c>
    </row>
    <row r="113" spans="1:52" x14ac:dyDescent="0.3">
      <c r="A113" s="5" t="s">
        <v>52</v>
      </c>
      <c r="B113" s="5" t="s">
        <v>56</v>
      </c>
      <c r="C113" s="5" t="s">
        <v>54</v>
      </c>
      <c r="D113" s="5" t="s">
        <v>56</v>
      </c>
      <c r="E113" s="5" t="s">
        <v>55</v>
      </c>
      <c r="F113" s="5">
        <v>2</v>
      </c>
      <c r="G113" s="5">
        <v>0.04</v>
      </c>
      <c r="H113" s="5" t="b">
        <v>0</v>
      </c>
      <c r="I113" s="5" t="b">
        <v>0</v>
      </c>
      <c r="J113" s="5" t="b">
        <v>0</v>
      </c>
      <c r="K113" s="5">
        <v>2.9529999999999998</v>
      </c>
      <c r="L113" s="5">
        <v>5.1999999999999998E-2</v>
      </c>
      <c r="M113" s="5">
        <v>-5.8000000000000003E-2</v>
      </c>
      <c r="N113" s="5">
        <v>7957.6139999999996</v>
      </c>
      <c r="O113" s="5">
        <v>0.191</v>
      </c>
      <c r="P113" s="5">
        <v>5.0000000000000001E-3</v>
      </c>
      <c r="Q113" s="6">
        <v>1E-3</v>
      </c>
      <c r="R113" s="6">
        <v>0.18</v>
      </c>
      <c r="S113" s="7">
        <v>1414.3510000000001</v>
      </c>
      <c r="T113" s="5">
        <v>1838.375</v>
      </c>
      <c r="U113" s="5">
        <v>1.5269999999999999</v>
      </c>
      <c r="V113" s="5">
        <v>3.5819999999999999</v>
      </c>
      <c r="W113" s="5">
        <v>1.466</v>
      </c>
      <c r="X113" s="5">
        <v>3.6749999999999998</v>
      </c>
      <c r="Y113" s="5">
        <v>10.252000000000001</v>
      </c>
      <c r="Z113" s="5">
        <v>3788</v>
      </c>
      <c r="AA113" s="5">
        <v>5270</v>
      </c>
      <c r="AB113" s="5">
        <v>4084</v>
      </c>
      <c r="AC113" s="5">
        <v>0.06</v>
      </c>
      <c r="AD113" s="5">
        <v>1</v>
      </c>
      <c r="AE113" s="5">
        <v>0</v>
      </c>
      <c r="AF113" s="5">
        <v>0</v>
      </c>
      <c r="AG113" s="5">
        <v>1</v>
      </c>
      <c r="AH113" s="5">
        <v>2.86</v>
      </c>
      <c r="AI113" s="5">
        <v>2.87758</v>
      </c>
      <c r="AJ113" s="5">
        <v>7.9000000000000001E-4</v>
      </c>
      <c r="AK113" s="5">
        <v>0</v>
      </c>
      <c r="AL113" s="5">
        <v>0</v>
      </c>
      <c r="AM113" s="5">
        <v>0</v>
      </c>
      <c r="AN113" s="5">
        <v>0.27300000000000002</v>
      </c>
      <c r="AO113" s="6">
        <f t="shared" si="21"/>
        <v>0.71878557874762805</v>
      </c>
      <c r="AP113" s="5">
        <f t="shared" si="22"/>
        <v>296</v>
      </c>
      <c r="AQ113" s="8">
        <f t="shared" si="16"/>
        <v>0.91076923076923078</v>
      </c>
      <c r="AR113" s="6">
        <f t="shared" si="23"/>
        <v>0.77495256166982918</v>
      </c>
      <c r="AS113" s="6">
        <f t="shared" si="24"/>
        <v>1.0023704707077548</v>
      </c>
      <c r="AT113" s="6">
        <f t="shared" si="27"/>
        <v>7.953682301841114E-2</v>
      </c>
      <c r="AU113" s="6">
        <f t="shared" si="26"/>
        <v>0</v>
      </c>
      <c r="AV113" s="5">
        <f t="shared" si="28"/>
        <v>0</v>
      </c>
      <c r="AW113" s="5">
        <f t="shared" si="29"/>
        <v>5</v>
      </c>
      <c r="AX113" s="5">
        <f t="shared" si="30"/>
        <v>0</v>
      </c>
      <c r="AY113" s="5">
        <f t="shared" si="31"/>
        <v>0</v>
      </c>
      <c r="AZ113" s="5">
        <f t="shared" si="25"/>
        <v>0</v>
      </c>
    </row>
    <row r="114" spans="1:52" x14ac:dyDescent="0.3">
      <c r="A114" s="5" t="s">
        <v>52</v>
      </c>
      <c r="B114" s="5" t="s">
        <v>56</v>
      </c>
      <c r="C114" s="5" t="s">
        <v>54</v>
      </c>
      <c r="D114" s="5" t="s">
        <v>56</v>
      </c>
      <c r="E114" s="5" t="s">
        <v>55</v>
      </c>
      <c r="F114" s="5">
        <v>2</v>
      </c>
      <c r="G114" s="5">
        <v>0.04</v>
      </c>
      <c r="H114" s="5" t="b">
        <v>0</v>
      </c>
      <c r="I114" s="5" t="b">
        <v>0</v>
      </c>
      <c r="J114" s="5" t="b">
        <v>0</v>
      </c>
      <c r="K114" s="5">
        <v>2.9529999999999998</v>
      </c>
      <c r="L114" s="5">
        <v>5.1999999999999998E-2</v>
      </c>
      <c r="M114" s="5">
        <v>-5.8000000000000003E-2</v>
      </c>
      <c r="N114" s="5">
        <v>9825.6919999999991</v>
      </c>
      <c r="O114" s="5">
        <v>0.151</v>
      </c>
      <c r="P114" s="5">
        <v>5.0000000000000001E-3</v>
      </c>
      <c r="Q114" s="6">
        <v>1E-3</v>
      </c>
      <c r="R114" s="6">
        <v>0.18</v>
      </c>
      <c r="S114" s="7">
        <v>1427.6690000000001</v>
      </c>
      <c r="T114" s="5">
        <v>1838.375</v>
      </c>
      <c r="U114" s="5">
        <v>1.75</v>
      </c>
      <c r="V114" s="5">
        <v>2.3690000000000002</v>
      </c>
      <c r="W114" s="5">
        <v>1.5349999999999999</v>
      </c>
      <c r="X114" s="5">
        <v>4.6920000000000002</v>
      </c>
      <c r="Y114" s="5">
        <v>10.348000000000001</v>
      </c>
      <c r="Z114" s="5">
        <v>3826</v>
      </c>
      <c r="AA114" s="5">
        <v>5270</v>
      </c>
      <c r="AB114" s="5">
        <v>4123</v>
      </c>
      <c r="AC114" s="5">
        <v>0.06</v>
      </c>
      <c r="AD114" s="5">
        <v>1</v>
      </c>
      <c r="AE114" s="5">
        <v>0</v>
      </c>
      <c r="AF114" s="5">
        <v>0</v>
      </c>
      <c r="AG114" s="5">
        <v>1</v>
      </c>
      <c r="AH114" s="5">
        <v>2.84</v>
      </c>
      <c r="AI114" s="5">
        <v>2.86287</v>
      </c>
      <c r="AJ114" s="5">
        <v>-1.1000000000000001E-3</v>
      </c>
      <c r="AK114" s="5">
        <v>-3.4000000000000002E-4</v>
      </c>
      <c r="AL114" s="5">
        <v>0</v>
      </c>
      <c r="AM114" s="5">
        <v>0</v>
      </c>
      <c r="AN114" s="5">
        <v>0.26900000000000002</v>
      </c>
      <c r="AO114" s="6">
        <f t="shared" si="21"/>
        <v>0.7259962049335863</v>
      </c>
      <c r="AP114" s="5">
        <f t="shared" si="22"/>
        <v>297</v>
      </c>
      <c r="AQ114" s="8">
        <f t="shared" si="16"/>
        <v>0.91384615384615386</v>
      </c>
      <c r="AR114" s="6">
        <f t="shared" si="23"/>
        <v>0.78235294117647058</v>
      </c>
      <c r="AS114" s="6">
        <f t="shared" si="24"/>
        <v>1.0057568574331188</v>
      </c>
      <c r="AT114" s="6">
        <f t="shared" si="27"/>
        <v>9.4554092878750551E-2</v>
      </c>
      <c r="AU114" s="6">
        <f t="shared" si="26"/>
        <v>7.5086349301697039E-2</v>
      </c>
      <c r="AV114" s="5">
        <f t="shared" si="28"/>
        <v>0</v>
      </c>
      <c r="AW114" s="5">
        <f t="shared" si="29"/>
        <v>5</v>
      </c>
      <c r="AX114" s="5">
        <f t="shared" si="30"/>
        <v>0</v>
      </c>
      <c r="AY114" s="5">
        <f t="shared" si="31"/>
        <v>0</v>
      </c>
      <c r="AZ114" s="5">
        <f t="shared" si="25"/>
        <v>0</v>
      </c>
    </row>
    <row r="115" spans="1:52" x14ac:dyDescent="0.3">
      <c r="A115" s="5" t="s">
        <v>52</v>
      </c>
      <c r="B115" s="5" t="s">
        <v>56</v>
      </c>
      <c r="C115" s="5" t="s">
        <v>54</v>
      </c>
      <c r="D115" s="5" t="s">
        <v>56</v>
      </c>
      <c r="E115" s="5" t="s">
        <v>55</v>
      </c>
      <c r="F115" s="5">
        <v>2</v>
      </c>
      <c r="G115" s="5">
        <v>0.04</v>
      </c>
      <c r="H115" s="5" t="b">
        <v>0</v>
      </c>
      <c r="I115" s="5" t="b">
        <v>0</v>
      </c>
      <c r="J115" s="5" t="b">
        <v>0</v>
      </c>
      <c r="K115" s="5">
        <v>2.9529999999999998</v>
      </c>
      <c r="L115" s="5">
        <v>5.1999999999999998E-2</v>
      </c>
      <c r="M115" s="5">
        <v>-5.8000000000000003E-2</v>
      </c>
      <c r="N115" s="5">
        <v>19377.881000000001</v>
      </c>
      <c r="O115" s="5">
        <v>7.4999999999999997E-2</v>
      </c>
      <c r="P115" s="5">
        <v>5.0000000000000001E-3</v>
      </c>
      <c r="Q115" s="6">
        <v>1E-3</v>
      </c>
      <c r="R115" s="6">
        <v>0.18</v>
      </c>
      <c r="S115" s="7">
        <v>1441.8779999999999</v>
      </c>
      <c r="T115" s="5">
        <v>1838.375</v>
      </c>
      <c r="U115" s="5">
        <v>2.7650000000000001</v>
      </c>
      <c r="V115" s="5">
        <v>2.524</v>
      </c>
      <c r="W115" s="5">
        <v>1.552</v>
      </c>
      <c r="X115" s="5">
        <v>3.9119999999999999</v>
      </c>
      <c r="Y115" s="5">
        <v>10.755000000000001</v>
      </c>
      <c r="Z115" s="5">
        <v>3868</v>
      </c>
      <c r="AA115" s="5">
        <v>5270</v>
      </c>
      <c r="AB115" s="5">
        <v>4163</v>
      </c>
      <c r="AC115" s="5">
        <v>0.06</v>
      </c>
      <c r="AD115" s="5">
        <v>1</v>
      </c>
      <c r="AE115" s="5">
        <v>0</v>
      </c>
      <c r="AF115" s="5">
        <v>0</v>
      </c>
      <c r="AG115" s="5">
        <v>1</v>
      </c>
      <c r="AH115" s="5">
        <v>2.88</v>
      </c>
      <c r="AI115" s="5">
        <v>2.87473</v>
      </c>
      <c r="AJ115" s="5">
        <v>8.3000000000000001E-4</v>
      </c>
      <c r="AK115" s="5">
        <v>-1.2E-4</v>
      </c>
      <c r="AL115" s="5">
        <v>0</v>
      </c>
      <c r="AM115" s="5">
        <v>0</v>
      </c>
      <c r="AN115" s="5">
        <v>0.26900000000000002</v>
      </c>
      <c r="AO115" s="6">
        <f t="shared" si="21"/>
        <v>0.73396584440227708</v>
      </c>
      <c r="AP115" s="5">
        <f t="shared" si="22"/>
        <v>295</v>
      </c>
      <c r="AQ115" s="8">
        <f t="shared" si="16"/>
        <v>0.90769230769230769</v>
      </c>
      <c r="AR115" s="6">
        <f t="shared" si="23"/>
        <v>0.78994307400379504</v>
      </c>
      <c r="AS115" s="6">
        <f t="shared" si="24"/>
        <v>0.9989840839823908</v>
      </c>
      <c r="AT115" s="6">
        <f t="shared" si="27"/>
        <v>5.0256961612582848E-2</v>
      </c>
      <c r="AU115" s="6">
        <f t="shared" si="26"/>
        <v>-0.14075585896263099</v>
      </c>
      <c r="AV115" s="5">
        <f t="shared" si="28"/>
        <v>0</v>
      </c>
      <c r="AW115" s="5">
        <f t="shared" si="29"/>
        <v>5</v>
      </c>
      <c r="AX115" s="5">
        <f t="shared" si="30"/>
        <v>0</v>
      </c>
      <c r="AY115" s="5">
        <f t="shared" si="31"/>
        <v>0</v>
      </c>
      <c r="AZ115" s="5">
        <f t="shared" si="25"/>
        <v>0</v>
      </c>
    </row>
    <row r="116" spans="1:52" x14ac:dyDescent="0.3">
      <c r="A116" s="5" t="s">
        <v>52</v>
      </c>
      <c r="B116" s="5" t="s">
        <v>56</v>
      </c>
      <c r="C116" s="5" t="s">
        <v>54</v>
      </c>
      <c r="D116" s="5" t="s">
        <v>56</v>
      </c>
      <c r="E116" s="5" t="s">
        <v>55</v>
      </c>
      <c r="F116" s="5">
        <v>2</v>
      </c>
      <c r="G116" s="5">
        <v>0.04</v>
      </c>
      <c r="H116" s="5" t="b">
        <v>0</v>
      </c>
      <c r="I116" s="5" t="b">
        <v>0</v>
      </c>
      <c r="J116" s="5" t="b">
        <v>0</v>
      </c>
      <c r="K116" s="5">
        <v>2.9529999999999998</v>
      </c>
      <c r="L116" s="5">
        <v>5.1999999999999998E-2</v>
      </c>
      <c r="M116" s="5">
        <v>-5.8000000000000003E-2</v>
      </c>
      <c r="N116" s="5">
        <v>12892.895</v>
      </c>
      <c r="O116" s="5">
        <v>0.109</v>
      </c>
      <c r="P116" s="5">
        <v>5.0000000000000001E-3</v>
      </c>
      <c r="Q116" s="6">
        <v>1E-3</v>
      </c>
      <c r="R116" s="6">
        <v>0.18</v>
      </c>
      <c r="S116" s="7">
        <v>1455.7639999999999</v>
      </c>
      <c r="T116" s="5">
        <v>1838.375</v>
      </c>
      <c r="U116" s="5">
        <v>1.8320000000000001</v>
      </c>
      <c r="V116" s="5">
        <v>2.4119999999999999</v>
      </c>
      <c r="W116" s="5">
        <v>1.639</v>
      </c>
      <c r="X116" s="5">
        <v>3.9390000000000001</v>
      </c>
      <c r="Y116" s="5">
        <v>9.8249999999999993</v>
      </c>
      <c r="Z116" s="5">
        <v>3907</v>
      </c>
      <c r="AA116" s="5">
        <v>5270</v>
      </c>
      <c r="AB116" s="5">
        <v>4206</v>
      </c>
      <c r="AC116" s="5">
        <v>0.06</v>
      </c>
      <c r="AD116" s="5">
        <v>1</v>
      </c>
      <c r="AE116" s="5">
        <v>0</v>
      </c>
      <c r="AF116" s="5">
        <v>0</v>
      </c>
      <c r="AG116" s="5">
        <v>1</v>
      </c>
      <c r="AH116" s="5">
        <v>2.86</v>
      </c>
      <c r="AI116" s="5">
        <v>2.87276</v>
      </c>
      <c r="AJ116" s="5">
        <v>-1.3999999999999999E-4</v>
      </c>
      <c r="AK116" s="5">
        <v>1.9000000000000001E-4</v>
      </c>
      <c r="AL116" s="5">
        <v>0</v>
      </c>
      <c r="AM116" s="5">
        <v>0</v>
      </c>
      <c r="AN116" s="5">
        <v>0.27300000000000002</v>
      </c>
      <c r="AO116" s="6">
        <f t="shared" si="21"/>
        <v>0.74136622390891838</v>
      </c>
      <c r="AP116" s="5">
        <f t="shared" si="22"/>
        <v>299</v>
      </c>
      <c r="AQ116" s="8">
        <f t="shared" si="16"/>
        <v>0.92</v>
      </c>
      <c r="AR116" s="6">
        <f t="shared" si="23"/>
        <v>0.79810246679316887</v>
      </c>
      <c r="AS116" s="6">
        <f t="shared" si="24"/>
        <v>1.012529630883847</v>
      </c>
      <c r="AT116" s="6">
        <f t="shared" si="27"/>
        <v>7.6609176227395617E-2</v>
      </c>
      <c r="AU116" s="6">
        <f t="shared" si="26"/>
        <v>0.28805991646262491</v>
      </c>
      <c r="AV116" s="5">
        <f t="shared" si="28"/>
        <v>0</v>
      </c>
      <c r="AW116" s="5">
        <f t="shared" si="29"/>
        <v>5</v>
      </c>
      <c r="AX116" s="5">
        <f t="shared" si="30"/>
        <v>0</v>
      </c>
      <c r="AY116" s="5">
        <f t="shared" si="31"/>
        <v>0</v>
      </c>
      <c r="AZ116" s="5">
        <f t="shared" si="25"/>
        <v>0</v>
      </c>
    </row>
    <row r="117" spans="1:52" x14ac:dyDescent="0.3">
      <c r="A117" s="5" t="s">
        <v>52</v>
      </c>
      <c r="B117" s="5" t="s">
        <v>56</v>
      </c>
      <c r="C117" s="5" t="s">
        <v>54</v>
      </c>
      <c r="D117" s="5" t="s">
        <v>56</v>
      </c>
      <c r="E117" s="5" t="s">
        <v>55</v>
      </c>
      <c r="F117" s="5">
        <v>2</v>
      </c>
      <c r="G117" s="5">
        <v>0.04</v>
      </c>
      <c r="H117" s="5" t="b">
        <v>0</v>
      </c>
      <c r="I117" s="5" t="b">
        <v>0</v>
      </c>
      <c r="J117" s="5" t="b">
        <v>0</v>
      </c>
      <c r="K117" s="5">
        <v>2.9529999999999998</v>
      </c>
      <c r="L117" s="5">
        <v>5.1999999999999998E-2</v>
      </c>
      <c r="M117" s="5">
        <v>-5.8000000000000003E-2</v>
      </c>
      <c r="N117" s="5">
        <v>-312003.53499999997</v>
      </c>
      <c r="O117" s="5">
        <v>-4.0000000000000001E-3</v>
      </c>
      <c r="P117" s="5">
        <v>5.0000000000000001E-3</v>
      </c>
      <c r="Q117" s="6">
        <v>1E-3</v>
      </c>
      <c r="R117" s="6">
        <v>0.18</v>
      </c>
      <c r="S117" s="7">
        <v>1468.7460000000001</v>
      </c>
      <c r="T117" s="5">
        <v>1838.375</v>
      </c>
      <c r="U117" s="5">
        <v>1.746</v>
      </c>
      <c r="V117" s="5">
        <v>2.2709999999999999</v>
      </c>
      <c r="W117" s="5">
        <v>1.677</v>
      </c>
      <c r="X117" s="5">
        <v>4.0309999999999997</v>
      </c>
      <c r="Y117" s="5">
        <v>9.7270000000000003</v>
      </c>
      <c r="Z117" s="5">
        <v>3944</v>
      </c>
      <c r="AA117" s="5">
        <v>5270</v>
      </c>
      <c r="AB117" s="5">
        <v>4244</v>
      </c>
      <c r="AC117" s="5">
        <v>0.06</v>
      </c>
      <c r="AD117" s="5">
        <v>1</v>
      </c>
      <c r="AE117" s="5">
        <v>0</v>
      </c>
      <c r="AF117" s="5">
        <v>0</v>
      </c>
      <c r="AG117" s="5">
        <v>1</v>
      </c>
      <c r="AH117" s="5">
        <v>2.88</v>
      </c>
      <c r="AI117" s="5">
        <v>2.8796499999999998</v>
      </c>
      <c r="AJ117" s="5">
        <v>5.2999999999999998E-4</v>
      </c>
      <c r="AK117" s="5">
        <v>1.9000000000000001E-4</v>
      </c>
      <c r="AL117" s="5">
        <v>0</v>
      </c>
      <c r="AM117" s="5">
        <v>0</v>
      </c>
      <c r="AN117" s="5">
        <v>0.27300000000000002</v>
      </c>
      <c r="AO117" s="6">
        <f t="shared" si="21"/>
        <v>0.74838709677419357</v>
      </c>
      <c r="AP117" s="5">
        <f t="shared" si="22"/>
        <v>300</v>
      </c>
      <c r="AQ117" s="8">
        <f t="shared" si="16"/>
        <v>0.92307692307692313</v>
      </c>
      <c r="AR117" s="6">
        <f t="shared" si="23"/>
        <v>0.80531309297912712</v>
      </c>
      <c r="AS117" s="6">
        <f t="shared" si="24"/>
        <v>1.015916017609211</v>
      </c>
      <c r="AT117" s="6">
        <f t="shared" si="27"/>
        <v>5.9884028055762394E-2</v>
      </c>
      <c r="AU117" s="6">
        <f t="shared" si="26"/>
        <v>7.7029733477120998E-2</v>
      </c>
      <c r="AV117" s="5">
        <f t="shared" si="28"/>
        <v>0</v>
      </c>
      <c r="AW117" s="5">
        <f t="shared" si="29"/>
        <v>5</v>
      </c>
      <c r="AX117" s="5">
        <f t="shared" si="30"/>
        <v>0</v>
      </c>
      <c r="AY117" s="5">
        <f t="shared" si="31"/>
        <v>0</v>
      </c>
      <c r="AZ117" s="5">
        <f t="shared" si="25"/>
        <v>0</v>
      </c>
    </row>
    <row r="118" spans="1:52" x14ac:dyDescent="0.3">
      <c r="A118" s="5" t="s">
        <v>52</v>
      </c>
      <c r="B118" s="5" t="s">
        <v>56</v>
      </c>
      <c r="C118" s="5" t="s">
        <v>54</v>
      </c>
      <c r="D118" s="5" t="s">
        <v>56</v>
      </c>
      <c r="E118" s="5" t="s">
        <v>55</v>
      </c>
      <c r="F118" s="5">
        <v>2</v>
      </c>
      <c r="G118" s="5">
        <v>0.04</v>
      </c>
      <c r="H118" s="5" t="b">
        <v>0</v>
      </c>
      <c r="I118" s="5" t="b">
        <v>0</v>
      </c>
      <c r="J118" s="5" t="b">
        <v>0</v>
      </c>
      <c r="K118" s="5">
        <v>2.9529999999999998</v>
      </c>
      <c r="L118" s="5">
        <v>5.1999999999999998E-2</v>
      </c>
      <c r="M118" s="5">
        <v>-5.8000000000000003E-2</v>
      </c>
      <c r="N118" s="5">
        <v>6572660.165</v>
      </c>
      <c r="O118" s="5">
        <v>0</v>
      </c>
      <c r="P118" s="5">
        <v>5.0000000000000001E-3</v>
      </c>
      <c r="Q118" s="6">
        <v>1E-3</v>
      </c>
      <c r="R118" s="6">
        <v>0.18</v>
      </c>
      <c r="S118" s="7">
        <v>1481.626</v>
      </c>
      <c r="T118" s="5">
        <v>1838.375</v>
      </c>
      <c r="U118" s="5">
        <v>1.68</v>
      </c>
      <c r="V118" s="5">
        <v>2.5640000000000001</v>
      </c>
      <c r="W118" s="5">
        <v>1.502</v>
      </c>
      <c r="X118" s="5">
        <v>3.6320000000000001</v>
      </c>
      <c r="Y118" s="5">
        <v>9.3800000000000008</v>
      </c>
      <c r="Z118" s="5">
        <v>3981</v>
      </c>
      <c r="AA118" s="5">
        <v>5270</v>
      </c>
      <c r="AB118" s="5">
        <v>4282</v>
      </c>
      <c r="AC118" s="5">
        <v>0.06</v>
      </c>
      <c r="AD118" s="5">
        <v>1</v>
      </c>
      <c r="AE118" s="5">
        <v>0</v>
      </c>
      <c r="AF118" s="5">
        <v>0</v>
      </c>
      <c r="AG118" s="5">
        <v>1</v>
      </c>
      <c r="AH118" s="5">
        <v>2.92</v>
      </c>
      <c r="AI118" s="5">
        <v>2.8688099999999999</v>
      </c>
      <c r="AJ118" s="5">
        <v>-8.4000000000000003E-4</v>
      </c>
      <c r="AK118" s="5">
        <v>-1.2999999999999999E-4</v>
      </c>
      <c r="AL118" s="5">
        <v>0</v>
      </c>
      <c r="AM118" s="5">
        <v>0</v>
      </c>
      <c r="AN118" s="5">
        <v>0.27300000000000002</v>
      </c>
      <c r="AO118" s="6">
        <f t="shared" si="21"/>
        <v>0.75540796963946866</v>
      </c>
      <c r="AP118" s="5">
        <f t="shared" si="22"/>
        <v>301</v>
      </c>
      <c r="AQ118" s="8">
        <f t="shared" si="16"/>
        <v>0.92615384615384611</v>
      </c>
      <c r="AR118" s="6">
        <f t="shared" si="23"/>
        <v>0.81252371916508537</v>
      </c>
      <c r="AS118" s="6">
        <f t="shared" si="24"/>
        <v>1.0193024043345749</v>
      </c>
      <c r="AT118" s="6">
        <f t="shared" si="27"/>
        <v>7.5411978366321547E-2</v>
      </c>
      <c r="AU118" s="6">
        <f t="shared" si="26"/>
        <v>7.7639751552795747E-2</v>
      </c>
      <c r="AV118" s="5">
        <f t="shared" si="28"/>
        <v>0</v>
      </c>
      <c r="AW118" s="5">
        <f t="shared" si="29"/>
        <v>5</v>
      </c>
      <c r="AX118" s="5">
        <f t="shared" si="30"/>
        <v>0</v>
      </c>
      <c r="AY118" s="5">
        <f t="shared" si="31"/>
        <v>0</v>
      </c>
      <c r="AZ118" s="5">
        <f t="shared" si="25"/>
        <v>0</v>
      </c>
    </row>
    <row r="119" spans="1:52" x14ac:dyDescent="0.3">
      <c r="A119" s="5" t="s">
        <v>52</v>
      </c>
      <c r="B119" s="5" t="s">
        <v>56</v>
      </c>
      <c r="C119" s="5" t="s">
        <v>54</v>
      </c>
      <c r="D119" s="5" t="s">
        <v>56</v>
      </c>
      <c r="E119" s="5" t="s">
        <v>55</v>
      </c>
      <c r="F119" s="5">
        <v>2</v>
      </c>
      <c r="G119" s="5">
        <v>0.04</v>
      </c>
      <c r="H119" s="5" t="b">
        <v>0</v>
      </c>
      <c r="I119" s="5" t="b">
        <v>0</v>
      </c>
      <c r="J119" s="5" t="b">
        <v>0</v>
      </c>
      <c r="K119" s="5">
        <v>2.9529999999999998</v>
      </c>
      <c r="L119" s="5">
        <v>5.1999999999999998E-2</v>
      </c>
      <c r="M119" s="5">
        <v>-5.8000000000000003E-2</v>
      </c>
      <c r="N119" s="5">
        <v>33226.449999999997</v>
      </c>
      <c r="O119" s="5">
        <v>3.9E-2</v>
      </c>
      <c r="P119" s="5">
        <v>5.0000000000000001E-3</v>
      </c>
      <c r="Q119" s="6">
        <v>1E-3</v>
      </c>
      <c r="R119" s="6">
        <v>0.18</v>
      </c>
      <c r="S119" s="7">
        <v>1494.0440000000001</v>
      </c>
      <c r="T119" s="5">
        <v>1838.375</v>
      </c>
      <c r="U119" s="5">
        <v>1.6020000000000001</v>
      </c>
      <c r="V119" s="5">
        <v>2.3069999999999999</v>
      </c>
      <c r="W119" s="5">
        <v>1.5660000000000001</v>
      </c>
      <c r="X119" s="5">
        <v>3.8</v>
      </c>
      <c r="Y119" s="5">
        <v>9.2769999999999992</v>
      </c>
      <c r="Z119" s="5">
        <v>4017</v>
      </c>
      <c r="AA119" s="5">
        <v>5270</v>
      </c>
      <c r="AB119" s="5">
        <v>4319</v>
      </c>
      <c r="AC119" s="5">
        <v>0.06</v>
      </c>
      <c r="AD119" s="5">
        <v>1</v>
      </c>
      <c r="AE119" s="5">
        <v>0</v>
      </c>
      <c r="AF119" s="5">
        <v>0</v>
      </c>
      <c r="AG119" s="5">
        <v>1</v>
      </c>
      <c r="AH119" s="5">
        <v>2.86</v>
      </c>
      <c r="AI119" s="5">
        <v>2.8776099999999998</v>
      </c>
      <c r="AJ119" s="5">
        <v>7.1000000000000002E-4</v>
      </c>
      <c r="AK119" s="5">
        <v>2.2000000000000001E-4</v>
      </c>
      <c r="AL119" s="5">
        <v>0</v>
      </c>
      <c r="AM119" s="5">
        <v>0</v>
      </c>
      <c r="AN119" s="5">
        <v>0.27700000000000002</v>
      </c>
      <c r="AO119" s="6">
        <f t="shared" si="21"/>
        <v>0.76223908918406069</v>
      </c>
      <c r="AP119" s="5">
        <f t="shared" si="22"/>
        <v>302</v>
      </c>
      <c r="AQ119" s="8">
        <f t="shared" si="16"/>
        <v>0.92923076923076919</v>
      </c>
      <c r="AR119" s="6">
        <f t="shared" si="23"/>
        <v>0.81954459203036056</v>
      </c>
      <c r="AS119" s="6">
        <f t="shared" si="24"/>
        <v>1.0226887910599389</v>
      </c>
      <c r="AT119" s="6">
        <f t="shared" si="27"/>
        <v>7.6500361590214533E-2</v>
      </c>
      <c r="AU119" s="6">
        <f t="shared" si="26"/>
        <v>8.0528265421162051E-2</v>
      </c>
      <c r="AV119" s="5">
        <f t="shared" si="28"/>
        <v>0</v>
      </c>
      <c r="AW119" s="5">
        <f t="shared" si="29"/>
        <v>5</v>
      </c>
      <c r="AX119" s="5">
        <f t="shared" si="30"/>
        <v>0</v>
      </c>
      <c r="AY119" s="5">
        <f t="shared" si="31"/>
        <v>0</v>
      </c>
      <c r="AZ119" s="5">
        <f t="shared" si="25"/>
        <v>0</v>
      </c>
    </row>
    <row r="120" spans="1:52" x14ac:dyDescent="0.3">
      <c r="A120" s="5" t="s">
        <v>52</v>
      </c>
      <c r="B120" s="5" t="s">
        <v>56</v>
      </c>
      <c r="C120" s="5" t="s">
        <v>54</v>
      </c>
      <c r="D120" s="5" t="s">
        <v>56</v>
      </c>
      <c r="E120" s="5" t="s">
        <v>55</v>
      </c>
      <c r="F120" s="5">
        <v>2</v>
      </c>
      <c r="G120" s="5">
        <v>0.04</v>
      </c>
      <c r="H120" s="5" t="b">
        <v>0</v>
      </c>
      <c r="I120" s="5" t="b">
        <v>0</v>
      </c>
      <c r="J120" s="5" t="b">
        <v>0</v>
      </c>
      <c r="K120" s="5">
        <v>2.9529999999999998</v>
      </c>
      <c r="L120" s="5">
        <v>5.1999999999999998E-2</v>
      </c>
      <c r="M120" s="5">
        <v>-5.8000000000000003E-2</v>
      </c>
      <c r="N120" s="5">
        <v>30857.112000000001</v>
      </c>
      <c r="O120" s="5">
        <v>4.1000000000000002E-2</v>
      </c>
      <c r="P120" s="5">
        <v>5.0000000000000001E-3</v>
      </c>
      <c r="Q120" s="6">
        <v>1E-3</v>
      </c>
      <c r="R120" s="6">
        <v>0.18</v>
      </c>
      <c r="S120" s="7">
        <v>1506.442</v>
      </c>
      <c r="T120" s="5">
        <v>1838.375</v>
      </c>
      <c r="U120" s="5">
        <v>1.671</v>
      </c>
      <c r="V120" s="5">
        <v>2.4279999999999999</v>
      </c>
      <c r="W120" s="5">
        <v>3.2189999999999999</v>
      </c>
      <c r="X120" s="5">
        <v>3.919</v>
      </c>
      <c r="Y120" s="5">
        <v>11.238</v>
      </c>
      <c r="Z120" s="5">
        <v>4053</v>
      </c>
      <c r="AA120" s="5">
        <v>5270</v>
      </c>
      <c r="AB120" s="5">
        <v>4356</v>
      </c>
      <c r="AC120" s="5">
        <v>0.06</v>
      </c>
      <c r="AD120" s="5">
        <v>1</v>
      </c>
      <c r="AE120" s="5">
        <v>0</v>
      </c>
      <c r="AF120" s="5">
        <v>0</v>
      </c>
      <c r="AG120" s="5">
        <v>1</v>
      </c>
      <c r="AH120" s="5">
        <v>2.88</v>
      </c>
      <c r="AI120" s="5">
        <v>2.8653400000000002</v>
      </c>
      <c r="AJ120" s="5">
        <v>-9.8999999999999999E-4</v>
      </c>
      <c r="AK120" s="5">
        <v>-1.4999999999999999E-4</v>
      </c>
      <c r="AL120" s="5">
        <v>0</v>
      </c>
      <c r="AM120" s="5">
        <v>0</v>
      </c>
      <c r="AN120" s="5">
        <v>0.27300000000000002</v>
      </c>
      <c r="AO120" s="6">
        <f t="shared" si="21"/>
        <v>0.76907020872865273</v>
      </c>
      <c r="AP120" s="5">
        <f t="shared" si="22"/>
        <v>303</v>
      </c>
      <c r="AQ120" s="8">
        <f t="shared" si="16"/>
        <v>0.93230769230769228</v>
      </c>
      <c r="AR120" s="6">
        <f t="shared" si="23"/>
        <v>0.82656546489563565</v>
      </c>
      <c r="AS120" s="6">
        <f t="shared" si="24"/>
        <v>1.026075177785303</v>
      </c>
      <c r="AT120" s="6">
        <f t="shared" si="27"/>
        <v>0.12078316751727869</v>
      </c>
      <c r="AU120" s="6">
        <f t="shared" si="26"/>
        <v>8.0658170672689725E-2</v>
      </c>
      <c r="AV120" s="5">
        <f t="shared" si="28"/>
        <v>0</v>
      </c>
      <c r="AW120" s="5">
        <f t="shared" si="29"/>
        <v>5</v>
      </c>
      <c r="AX120" s="5">
        <f t="shared" si="30"/>
        <v>0</v>
      </c>
      <c r="AY120" s="5">
        <f t="shared" si="31"/>
        <v>0</v>
      </c>
      <c r="AZ120" s="5">
        <f t="shared" si="25"/>
        <v>0</v>
      </c>
    </row>
    <row r="121" spans="1:52" x14ac:dyDescent="0.3">
      <c r="A121" s="5" t="s">
        <v>52</v>
      </c>
      <c r="B121" s="5" t="s">
        <v>56</v>
      </c>
      <c r="C121" s="5" t="s">
        <v>54</v>
      </c>
      <c r="D121" s="5" t="s">
        <v>56</v>
      </c>
      <c r="E121" s="5" t="s">
        <v>55</v>
      </c>
      <c r="F121" s="5">
        <v>2</v>
      </c>
      <c r="G121" s="5">
        <v>0.04</v>
      </c>
      <c r="H121" s="5" t="b">
        <v>0</v>
      </c>
      <c r="I121" s="5" t="b">
        <v>0</v>
      </c>
      <c r="J121" s="5" t="b">
        <v>0</v>
      </c>
      <c r="K121" s="5">
        <v>2.9529999999999998</v>
      </c>
      <c r="L121" s="5">
        <v>5.1999999999999998E-2</v>
      </c>
      <c r="M121" s="5">
        <v>-5.8000000000000003E-2</v>
      </c>
      <c r="N121" s="5">
        <v>4877.3379999999997</v>
      </c>
      <c r="O121" s="5">
        <v>0.25</v>
      </c>
      <c r="P121" s="5">
        <v>5.0000000000000001E-3</v>
      </c>
      <c r="Q121" s="6">
        <v>1E-3</v>
      </c>
      <c r="R121" s="6">
        <v>0.18</v>
      </c>
      <c r="S121" s="7">
        <v>1520.722</v>
      </c>
      <c r="T121" s="5">
        <v>1838.375</v>
      </c>
      <c r="U121" s="5">
        <v>1.9990000000000001</v>
      </c>
      <c r="V121" s="5">
        <v>2.3540000000000001</v>
      </c>
      <c r="W121" s="5">
        <v>1.5249999999999999</v>
      </c>
      <c r="X121" s="5">
        <v>4.3250000000000002</v>
      </c>
      <c r="Y121" s="5">
        <v>10.205</v>
      </c>
      <c r="Z121" s="5">
        <v>4094</v>
      </c>
      <c r="AA121" s="5">
        <v>5270</v>
      </c>
      <c r="AB121" s="5">
        <v>4398</v>
      </c>
      <c r="AC121" s="5">
        <v>0.06</v>
      </c>
      <c r="AD121" s="5">
        <v>1</v>
      </c>
      <c r="AE121" s="5">
        <v>0</v>
      </c>
      <c r="AF121" s="5">
        <v>0</v>
      </c>
      <c r="AG121" s="5">
        <v>1</v>
      </c>
      <c r="AH121" s="5">
        <v>2.88</v>
      </c>
      <c r="AI121" s="5">
        <v>2.8787699999999998</v>
      </c>
      <c r="AJ121" s="5">
        <v>9.3999999999999997E-4</v>
      </c>
      <c r="AK121" s="5">
        <v>9.0000000000000006E-5</v>
      </c>
      <c r="AL121" s="5">
        <v>0</v>
      </c>
      <c r="AM121" s="5">
        <v>0</v>
      </c>
      <c r="AN121" s="5">
        <v>0.27700000000000002</v>
      </c>
      <c r="AO121" s="6">
        <f t="shared" si="21"/>
        <v>0.77685009487666035</v>
      </c>
      <c r="AP121" s="5">
        <f t="shared" si="22"/>
        <v>304</v>
      </c>
      <c r="AQ121" s="8">
        <f t="shared" si="16"/>
        <v>0.93538461538461537</v>
      </c>
      <c r="AR121" s="6">
        <f t="shared" si="23"/>
        <v>0.83453510436432643</v>
      </c>
      <c r="AS121" s="6">
        <f t="shared" si="24"/>
        <v>1.0294615645106671</v>
      </c>
      <c r="AT121" s="6">
        <f t="shared" si="27"/>
        <v>7.7176786465650085E-2</v>
      </c>
      <c r="AU121" s="6">
        <f t="shared" si="26"/>
        <v>7.0028011204481933E-2</v>
      </c>
      <c r="AV121" s="5">
        <f t="shared" si="28"/>
        <v>0</v>
      </c>
      <c r="AW121" s="5">
        <f t="shared" si="29"/>
        <v>5</v>
      </c>
      <c r="AX121" s="5">
        <f t="shared" si="30"/>
        <v>0</v>
      </c>
      <c r="AY121" s="5">
        <f t="shared" si="31"/>
        <v>0</v>
      </c>
      <c r="AZ121" s="5">
        <f t="shared" si="25"/>
        <v>0</v>
      </c>
    </row>
    <row r="122" spans="1:52" x14ac:dyDescent="0.3">
      <c r="A122" s="5" t="s">
        <v>52</v>
      </c>
      <c r="B122" s="5" t="s">
        <v>56</v>
      </c>
      <c r="C122" s="5" t="s">
        <v>54</v>
      </c>
      <c r="D122" s="5" t="s">
        <v>56</v>
      </c>
      <c r="E122" s="5" t="s">
        <v>55</v>
      </c>
      <c r="F122" s="5">
        <v>2</v>
      </c>
      <c r="G122" s="5">
        <v>0.04</v>
      </c>
      <c r="H122" s="5" t="b">
        <v>0</v>
      </c>
      <c r="I122" s="5" t="b">
        <v>0</v>
      </c>
      <c r="J122" s="5" t="b">
        <v>0</v>
      </c>
      <c r="K122" s="5">
        <v>2.9529999999999998</v>
      </c>
      <c r="L122" s="5">
        <v>5.1999999999999998E-2</v>
      </c>
      <c r="M122" s="5">
        <v>-5.8000000000000003E-2</v>
      </c>
      <c r="N122" s="5">
        <v>8813.4629999999997</v>
      </c>
      <c r="O122" s="5">
        <v>0.13300000000000001</v>
      </c>
      <c r="P122" s="5">
        <v>5.0000000000000001E-3</v>
      </c>
      <c r="Q122" s="6">
        <v>1E-3</v>
      </c>
      <c r="R122" s="6">
        <v>0.18</v>
      </c>
      <c r="S122" s="7">
        <v>1534.068</v>
      </c>
      <c r="T122" s="5">
        <v>1838.375</v>
      </c>
      <c r="U122" s="5">
        <v>1.7849999999999999</v>
      </c>
      <c r="V122" s="5">
        <v>2.3140000000000001</v>
      </c>
      <c r="W122" s="5">
        <v>1.6950000000000001</v>
      </c>
      <c r="X122" s="5">
        <v>3.7989999999999999</v>
      </c>
      <c r="Y122" s="5">
        <v>9.5950000000000006</v>
      </c>
      <c r="Z122" s="5">
        <v>4132</v>
      </c>
      <c r="AA122" s="5">
        <v>5270</v>
      </c>
      <c r="AB122" s="5">
        <v>4437</v>
      </c>
      <c r="AC122" s="5">
        <v>0.06</v>
      </c>
      <c r="AD122" s="5">
        <v>1</v>
      </c>
      <c r="AE122" s="5">
        <v>0</v>
      </c>
      <c r="AF122" s="5">
        <v>0</v>
      </c>
      <c r="AG122" s="5">
        <v>1</v>
      </c>
      <c r="AH122" s="5">
        <v>2.86</v>
      </c>
      <c r="AI122" s="5">
        <v>2.87805</v>
      </c>
      <c r="AJ122" s="5">
        <v>-5.0000000000000002E-5</v>
      </c>
      <c r="AK122" s="5">
        <v>-2.0000000000000002E-5</v>
      </c>
      <c r="AL122" s="5">
        <v>0</v>
      </c>
      <c r="AM122" s="5">
        <v>0</v>
      </c>
      <c r="AN122" s="5">
        <v>0.27700000000000002</v>
      </c>
      <c r="AO122" s="6">
        <f t="shared" si="21"/>
        <v>0.78406072106261859</v>
      </c>
      <c r="AP122" s="5">
        <f t="shared" si="22"/>
        <v>305</v>
      </c>
      <c r="AQ122" s="8">
        <f t="shared" si="16"/>
        <v>0.93846153846153846</v>
      </c>
      <c r="AR122" s="6">
        <f t="shared" si="23"/>
        <v>0.84193548387096773</v>
      </c>
      <c r="AS122" s="6">
        <f t="shared" si="24"/>
        <v>1.0328479512360311</v>
      </c>
      <c r="AT122" s="6">
        <f t="shared" si="27"/>
        <v>7.6756603294877462E-2</v>
      </c>
      <c r="AU122" s="6">
        <f t="shared" si="26"/>
        <v>7.4928817623257885E-2</v>
      </c>
      <c r="AV122" s="5">
        <f t="shared" si="28"/>
        <v>0</v>
      </c>
      <c r="AW122" s="5">
        <f t="shared" si="29"/>
        <v>5</v>
      </c>
      <c r="AX122" s="5">
        <f t="shared" si="30"/>
        <v>0</v>
      </c>
      <c r="AY122" s="5">
        <f t="shared" si="31"/>
        <v>0</v>
      </c>
      <c r="AZ122" s="5">
        <f t="shared" si="25"/>
        <v>0</v>
      </c>
    </row>
    <row r="123" spans="1:52" x14ac:dyDescent="0.3">
      <c r="A123" s="5" t="s">
        <v>52</v>
      </c>
      <c r="B123" s="5" t="s">
        <v>56</v>
      </c>
      <c r="C123" s="5" t="s">
        <v>54</v>
      </c>
      <c r="D123" s="5" t="s">
        <v>56</v>
      </c>
      <c r="E123" s="5" t="s">
        <v>55</v>
      </c>
      <c r="F123" s="5">
        <v>2</v>
      </c>
      <c r="G123" s="5">
        <v>0.04</v>
      </c>
      <c r="H123" s="5" t="b">
        <v>0</v>
      </c>
      <c r="I123" s="5" t="b">
        <v>0</v>
      </c>
      <c r="J123" s="5" t="b">
        <v>0</v>
      </c>
      <c r="K123" s="5">
        <v>2.9529999999999998</v>
      </c>
      <c r="L123" s="5">
        <v>5.1999999999999998E-2</v>
      </c>
      <c r="M123" s="5">
        <v>-5.8000000000000003E-2</v>
      </c>
      <c r="N123" s="5">
        <v>-15076.32</v>
      </c>
      <c r="O123" s="5">
        <v>-7.4999999999999997E-2</v>
      </c>
      <c r="P123" s="5">
        <v>5.0000000000000001E-3</v>
      </c>
      <c r="Q123" s="6">
        <v>1E-3</v>
      </c>
      <c r="R123" s="6">
        <v>0.18</v>
      </c>
      <c r="S123" s="7">
        <v>1547.546</v>
      </c>
      <c r="T123" s="5">
        <v>1838.375</v>
      </c>
      <c r="U123" s="5">
        <v>1.595</v>
      </c>
      <c r="V123" s="5">
        <v>2.399</v>
      </c>
      <c r="W123" s="5">
        <v>1.73</v>
      </c>
      <c r="X123" s="5">
        <v>4.1790000000000003</v>
      </c>
      <c r="Y123" s="5">
        <v>9.9049999999999994</v>
      </c>
      <c r="Z123" s="5">
        <v>4171</v>
      </c>
      <c r="AA123" s="5">
        <v>5270</v>
      </c>
      <c r="AB123" s="5">
        <v>4475</v>
      </c>
      <c r="AC123" s="5">
        <v>0.06</v>
      </c>
      <c r="AD123" s="5">
        <v>1</v>
      </c>
      <c r="AE123" s="5">
        <v>0</v>
      </c>
      <c r="AF123" s="5">
        <v>0</v>
      </c>
      <c r="AG123" s="5">
        <v>1</v>
      </c>
      <c r="AH123" s="5">
        <v>2.88</v>
      </c>
      <c r="AI123" s="5">
        <v>2.8822999999999999</v>
      </c>
      <c r="AJ123" s="5">
        <v>3.2000000000000003E-4</v>
      </c>
      <c r="AK123" s="5">
        <v>2.0000000000000001E-4</v>
      </c>
      <c r="AL123" s="5">
        <v>0</v>
      </c>
      <c r="AM123" s="5">
        <v>0</v>
      </c>
      <c r="AN123" s="5">
        <v>0.27300000000000002</v>
      </c>
      <c r="AO123" s="6">
        <f t="shared" si="21"/>
        <v>0.79146110056926</v>
      </c>
      <c r="AP123" s="5">
        <f t="shared" si="22"/>
        <v>304</v>
      </c>
      <c r="AQ123" s="8">
        <f t="shared" si="16"/>
        <v>0.93538461538461537</v>
      </c>
      <c r="AR123" s="6">
        <f t="shared" si="23"/>
        <v>0.84914611005692597</v>
      </c>
      <c r="AS123" s="6">
        <f t="shared" si="24"/>
        <v>1.0294615645106671</v>
      </c>
      <c r="AT123" s="6">
        <f t="shared" si="27"/>
        <v>4.6389656100507735E-2</v>
      </c>
      <c r="AU123" s="6">
        <f t="shared" si="26"/>
        <v>-7.4194984419052909E-2</v>
      </c>
      <c r="AV123" s="5">
        <f t="shared" si="28"/>
        <v>0</v>
      </c>
      <c r="AW123" s="5">
        <f t="shared" si="29"/>
        <v>5</v>
      </c>
      <c r="AX123" s="5">
        <f t="shared" si="30"/>
        <v>0</v>
      </c>
      <c r="AY123" s="5">
        <f t="shared" si="31"/>
        <v>0</v>
      </c>
      <c r="AZ123" s="5">
        <f t="shared" si="25"/>
        <v>0</v>
      </c>
    </row>
    <row r="124" spans="1:52" x14ac:dyDescent="0.3">
      <c r="A124" s="5" t="s">
        <v>52</v>
      </c>
      <c r="B124" s="5" t="s">
        <v>56</v>
      </c>
      <c r="C124" s="5" t="s">
        <v>54</v>
      </c>
      <c r="D124" s="5" t="s">
        <v>56</v>
      </c>
      <c r="E124" s="5" t="s">
        <v>55</v>
      </c>
      <c r="F124" s="5">
        <v>2</v>
      </c>
      <c r="G124" s="5">
        <v>0.04</v>
      </c>
      <c r="H124" s="5" t="b">
        <v>0</v>
      </c>
      <c r="I124" s="5" t="b">
        <v>0</v>
      </c>
      <c r="J124" s="5" t="b">
        <v>0</v>
      </c>
      <c r="K124" s="5">
        <v>2.9529999999999998</v>
      </c>
      <c r="L124" s="5">
        <v>5.1999999999999998E-2</v>
      </c>
      <c r="M124" s="5">
        <v>-5.8000000000000003E-2</v>
      </c>
      <c r="N124" s="5">
        <v>15144.954</v>
      </c>
      <c r="O124" s="5">
        <v>7.2999999999999995E-2</v>
      </c>
      <c r="P124" s="5">
        <v>5.0000000000000001E-3</v>
      </c>
      <c r="Q124" s="6">
        <v>1E-3</v>
      </c>
      <c r="R124" s="6">
        <v>0.18</v>
      </c>
      <c r="S124" s="7">
        <v>1560.5319999999999</v>
      </c>
      <c r="T124" s="5">
        <v>1838.375</v>
      </c>
      <c r="U124" s="5">
        <v>1.506</v>
      </c>
      <c r="V124" s="5">
        <v>2.2029999999999998</v>
      </c>
      <c r="W124" s="5">
        <v>1.4910000000000001</v>
      </c>
      <c r="X124" s="5">
        <v>3.6869999999999998</v>
      </c>
      <c r="Y124" s="5">
        <v>8.8879999999999999</v>
      </c>
      <c r="Z124" s="5">
        <v>4208</v>
      </c>
      <c r="AA124" s="5">
        <v>5270</v>
      </c>
      <c r="AB124" s="5">
        <v>4516</v>
      </c>
      <c r="AC124" s="5">
        <v>0.06</v>
      </c>
      <c r="AD124" s="5">
        <v>1</v>
      </c>
      <c r="AE124" s="5">
        <v>0</v>
      </c>
      <c r="AF124" s="5">
        <v>0</v>
      </c>
      <c r="AG124" s="5">
        <v>1</v>
      </c>
      <c r="AH124" s="5">
        <v>2.88</v>
      </c>
      <c r="AI124" s="5">
        <v>2.8727100000000001</v>
      </c>
      <c r="AJ124" s="5">
        <v>-7.3999999999999999E-4</v>
      </c>
      <c r="AK124" s="5">
        <v>-6.9999999999999994E-5</v>
      </c>
      <c r="AL124" s="5">
        <v>0</v>
      </c>
      <c r="AM124" s="5">
        <v>0</v>
      </c>
      <c r="AN124" s="5">
        <v>0.27300000000000002</v>
      </c>
      <c r="AO124" s="6">
        <f t="shared" si="21"/>
        <v>0.79848197343453509</v>
      </c>
      <c r="AP124" s="5">
        <f t="shared" si="22"/>
        <v>308</v>
      </c>
      <c r="AQ124" s="8">
        <f t="shared" si="16"/>
        <v>0.94769230769230772</v>
      </c>
      <c r="AR124" s="6">
        <f t="shared" si="23"/>
        <v>0.85692599620493359</v>
      </c>
      <c r="AS124" s="6">
        <f t="shared" si="24"/>
        <v>1.0430071114121233</v>
      </c>
      <c r="AT124" s="6">
        <f t="shared" si="27"/>
        <v>9.1888808191079543E-2</v>
      </c>
      <c r="AU124" s="6">
        <f t="shared" si="26"/>
        <v>0.30802402587402111</v>
      </c>
      <c r="AV124" s="5">
        <f t="shared" si="28"/>
        <v>0</v>
      </c>
      <c r="AW124" s="5">
        <f t="shared" si="29"/>
        <v>5</v>
      </c>
      <c r="AX124" s="5">
        <f t="shared" si="30"/>
        <v>0</v>
      </c>
      <c r="AY124" s="5">
        <f t="shared" si="31"/>
        <v>0</v>
      </c>
      <c r="AZ124" s="5">
        <f t="shared" si="25"/>
        <v>0</v>
      </c>
    </row>
    <row r="125" spans="1:52" x14ac:dyDescent="0.3">
      <c r="A125" s="5" t="s">
        <v>52</v>
      </c>
      <c r="B125" s="5" t="s">
        <v>56</v>
      </c>
      <c r="C125" s="5" t="s">
        <v>54</v>
      </c>
      <c r="D125" s="5" t="s">
        <v>56</v>
      </c>
      <c r="E125" s="5" t="s">
        <v>55</v>
      </c>
      <c r="F125" s="5">
        <v>2</v>
      </c>
      <c r="G125" s="5">
        <v>0.04</v>
      </c>
      <c r="H125" s="5" t="b">
        <v>0</v>
      </c>
      <c r="I125" s="5" t="b">
        <v>0</v>
      </c>
      <c r="J125" s="5" t="b">
        <v>0</v>
      </c>
      <c r="K125" s="5">
        <v>2.9529999999999998</v>
      </c>
      <c r="L125" s="5">
        <v>5.1999999999999998E-2</v>
      </c>
      <c r="M125" s="5">
        <v>-5.8000000000000003E-2</v>
      </c>
      <c r="N125" s="5">
        <v>-96803.721999999994</v>
      </c>
      <c r="O125" s="5">
        <v>-1.0999999999999999E-2</v>
      </c>
      <c r="P125" s="5">
        <v>5.0000000000000001E-3</v>
      </c>
      <c r="Q125" s="6">
        <v>1E-3</v>
      </c>
      <c r="R125" s="6">
        <v>0.18</v>
      </c>
      <c r="S125" s="7">
        <v>1572.51</v>
      </c>
      <c r="T125" s="5">
        <v>1838.375</v>
      </c>
      <c r="U125" s="5">
        <v>1.669</v>
      </c>
      <c r="V125" s="5">
        <v>2.2850000000000001</v>
      </c>
      <c r="W125" s="5">
        <v>1.514</v>
      </c>
      <c r="X125" s="5">
        <v>4.09</v>
      </c>
      <c r="Y125" s="5">
        <v>9.5609999999999999</v>
      </c>
      <c r="Z125" s="5">
        <v>4243</v>
      </c>
      <c r="AA125" s="5">
        <v>5270</v>
      </c>
      <c r="AB125" s="5">
        <v>4551</v>
      </c>
      <c r="AC125" s="5">
        <v>0.06</v>
      </c>
      <c r="AD125" s="5">
        <v>1</v>
      </c>
      <c r="AE125" s="5">
        <v>0</v>
      </c>
      <c r="AF125" s="5">
        <v>0</v>
      </c>
      <c r="AG125" s="5">
        <v>1</v>
      </c>
      <c r="AH125" s="5">
        <v>2.86</v>
      </c>
      <c r="AI125" s="5">
        <v>2.87582</v>
      </c>
      <c r="AJ125" s="5">
        <v>2.5999999999999998E-4</v>
      </c>
      <c r="AK125" s="5">
        <v>1.6000000000000001E-4</v>
      </c>
      <c r="AL125" s="5">
        <v>0</v>
      </c>
      <c r="AM125" s="5">
        <v>0</v>
      </c>
      <c r="AN125" s="5">
        <v>0.28000000000000003</v>
      </c>
      <c r="AO125" s="6">
        <f t="shared" si="21"/>
        <v>0.80512333965844407</v>
      </c>
      <c r="AP125" s="5">
        <f t="shared" si="22"/>
        <v>308</v>
      </c>
      <c r="AQ125" s="8">
        <f t="shared" si="16"/>
        <v>0.94769230769230772</v>
      </c>
      <c r="AR125" s="6">
        <f t="shared" si="23"/>
        <v>0.86356736242884247</v>
      </c>
      <c r="AS125" s="6">
        <f t="shared" si="24"/>
        <v>1.0430071114121233</v>
      </c>
      <c r="AT125" s="6">
        <f t="shared" si="27"/>
        <v>7.5757174056541601E-2</v>
      </c>
      <c r="AU125" s="6">
        <f t="shared" si="26"/>
        <v>0</v>
      </c>
      <c r="AV125" s="5">
        <f t="shared" si="28"/>
        <v>0</v>
      </c>
      <c r="AW125" s="5">
        <f t="shared" si="29"/>
        <v>5</v>
      </c>
      <c r="AX125" s="5">
        <f t="shared" si="30"/>
        <v>0</v>
      </c>
      <c r="AY125" s="5">
        <f t="shared" si="31"/>
        <v>0</v>
      </c>
      <c r="AZ125" s="5">
        <f t="shared" si="25"/>
        <v>0</v>
      </c>
    </row>
    <row r="126" spans="1:52" x14ac:dyDescent="0.3">
      <c r="A126" s="5" t="s">
        <v>52</v>
      </c>
      <c r="B126" s="5" t="s">
        <v>56</v>
      </c>
      <c r="C126" s="5" t="s">
        <v>54</v>
      </c>
      <c r="D126" s="5" t="s">
        <v>56</v>
      </c>
      <c r="E126" s="5" t="s">
        <v>55</v>
      </c>
      <c r="F126" s="5">
        <v>2</v>
      </c>
      <c r="G126" s="5">
        <v>0.04</v>
      </c>
      <c r="H126" s="5" t="b">
        <v>0</v>
      </c>
      <c r="I126" s="5" t="b">
        <v>0</v>
      </c>
      <c r="J126" s="5" t="b">
        <v>0</v>
      </c>
      <c r="K126" s="5">
        <v>2.9529999999999998</v>
      </c>
      <c r="L126" s="5">
        <v>5.1999999999999998E-2</v>
      </c>
      <c r="M126" s="5">
        <v>-5.8000000000000003E-2</v>
      </c>
      <c r="N126" s="5">
        <v>-228854.54800000001</v>
      </c>
      <c r="O126" s="5">
        <v>-4.0000000000000001E-3</v>
      </c>
      <c r="P126" s="5">
        <v>5.0000000000000001E-3</v>
      </c>
      <c r="Q126" s="6">
        <v>1E-3</v>
      </c>
      <c r="R126" s="6">
        <v>0.18</v>
      </c>
      <c r="S126" s="7">
        <v>1585.3</v>
      </c>
      <c r="T126" s="5">
        <v>1838.375</v>
      </c>
      <c r="U126" s="5">
        <v>1.653</v>
      </c>
      <c r="V126" s="5">
        <v>2.2930000000000001</v>
      </c>
      <c r="W126" s="5">
        <v>1.4670000000000001</v>
      </c>
      <c r="X126" s="5">
        <v>4.149</v>
      </c>
      <c r="Y126" s="5">
        <v>9.5640000000000001</v>
      </c>
      <c r="Z126" s="5">
        <v>4279</v>
      </c>
      <c r="AA126" s="5">
        <v>5270</v>
      </c>
      <c r="AB126" s="5">
        <v>4588</v>
      </c>
      <c r="AC126" s="5">
        <v>0.06</v>
      </c>
      <c r="AD126" s="5">
        <v>1</v>
      </c>
      <c r="AE126" s="5">
        <v>0</v>
      </c>
      <c r="AF126" s="5">
        <v>0</v>
      </c>
      <c r="AG126" s="5">
        <v>1</v>
      </c>
      <c r="AH126" s="5">
        <v>2.86</v>
      </c>
      <c r="AI126" s="5">
        <v>2.8647399999999998</v>
      </c>
      <c r="AJ126" s="5">
        <v>-8.7000000000000001E-4</v>
      </c>
      <c r="AK126" s="5">
        <v>-2.2000000000000001E-4</v>
      </c>
      <c r="AL126" s="5">
        <v>0</v>
      </c>
      <c r="AM126" s="5">
        <v>0</v>
      </c>
      <c r="AN126" s="5">
        <v>0.27300000000000002</v>
      </c>
      <c r="AO126" s="6">
        <f t="shared" si="21"/>
        <v>0.81195445920303611</v>
      </c>
      <c r="AP126" s="5">
        <f t="shared" si="22"/>
        <v>309</v>
      </c>
      <c r="AQ126" s="8">
        <f t="shared" si="16"/>
        <v>0.95076923076923081</v>
      </c>
      <c r="AR126" s="6">
        <f t="shared" si="23"/>
        <v>0.87058823529411766</v>
      </c>
      <c r="AS126" s="6">
        <f t="shared" si="24"/>
        <v>1.0463934981374872</v>
      </c>
      <c r="AT126" s="6">
        <f t="shared" si="27"/>
        <v>7.7388788391094823E-2</v>
      </c>
      <c r="AU126" s="6">
        <f t="shared" si="26"/>
        <v>7.818608287724807E-2</v>
      </c>
      <c r="AV126" s="5">
        <f t="shared" si="28"/>
        <v>0</v>
      </c>
      <c r="AW126" s="5">
        <f t="shared" si="29"/>
        <v>5</v>
      </c>
      <c r="AX126" s="5">
        <f t="shared" si="30"/>
        <v>0</v>
      </c>
      <c r="AY126" s="5">
        <f t="shared" si="31"/>
        <v>0</v>
      </c>
      <c r="AZ126" s="5">
        <f t="shared" si="25"/>
        <v>0</v>
      </c>
    </row>
    <row r="127" spans="1:52" x14ac:dyDescent="0.3">
      <c r="A127" s="5" t="s">
        <v>52</v>
      </c>
      <c r="B127" s="5" t="s">
        <v>56</v>
      </c>
      <c r="C127" s="5" t="s">
        <v>54</v>
      </c>
      <c r="D127" s="5" t="s">
        <v>56</v>
      </c>
      <c r="E127" s="5" t="s">
        <v>55</v>
      </c>
      <c r="F127" s="5">
        <v>2</v>
      </c>
      <c r="G127" s="5">
        <v>0.04</v>
      </c>
      <c r="H127" s="5" t="b">
        <v>0</v>
      </c>
      <c r="I127" s="5" t="b">
        <v>0</v>
      </c>
      <c r="J127" s="5" t="b">
        <v>0</v>
      </c>
      <c r="K127" s="5">
        <v>2.9529999999999998</v>
      </c>
      <c r="L127" s="5">
        <v>5.1999999999999998E-2</v>
      </c>
      <c r="M127" s="5">
        <v>-5.8000000000000003E-2</v>
      </c>
      <c r="N127" s="5">
        <v>6304.3689999999997</v>
      </c>
      <c r="O127" s="5">
        <v>0.157</v>
      </c>
      <c r="P127" s="5">
        <v>5.0000000000000001E-3</v>
      </c>
      <c r="Q127" s="6">
        <v>1E-3</v>
      </c>
      <c r="R127" s="6">
        <v>0.18</v>
      </c>
      <c r="S127" s="7">
        <v>1598.1610000000001</v>
      </c>
      <c r="T127" s="5">
        <v>1838.375</v>
      </c>
      <c r="U127" s="5">
        <v>1.629</v>
      </c>
      <c r="V127" s="5">
        <v>2.351</v>
      </c>
      <c r="W127" s="5">
        <v>1.5720000000000001</v>
      </c>
      <c r="X127" s="5">
        <v>3.665</v>
      </c>
      <c r="Y127" s="5">
        <v>9.218</v>
      </c>
      <c r="Z127" s="5">
        <v>4316</v>
      </c>
      <c r="AA127" s="5">
        <v>5270</v>
      </c>
      <c r="AB127" s="5">
        <v>4626</v>
      </c>
      <c r="AC127" s="5">
        <v>0.06</v>
      </c>
      <c r="AD127" s="5">
        <v>1</v>
      </c>
      <c r="AE127" s="5">
        <v>0</v>
      </c>
      <c r="AF127" s="5">
        <v>0</v>
      </c>
      <c r="AG127" s="5">
        <v>1</v>
      </c>
      <c r="AH127" s="5">
        <v>2.86</v>
      </c>
      <c r="AI127" s="5">
        <v>2.8708200000000001</v>
      </c>
      <c r="AJ127" s="5">
        <v>4.6999999999999999E-4</v>
      </c>
      <c r="AK127" s="5">
        <v>-1.1E-4</v>
      </c>
      <c r="AL127" s="5">
        <v>0</v>
      </c>
      <c r="AM127" s="5">
        <v>0</v>
      </c>
      <c r="AN127" s="5">
        <v>0.27300000000000002</v>
      </c>
      <c r="AO127" s="6">
        <f t="shared" si="21"/>
        <v>0.81897533206831119</v>
      </c>
      <c r="AP127" s="5">
        <f t="shared" si="22"/>
        <v>310</v>
      </c>
      <c r="AQ127" s="8">
        <f t="shared" si="16"/>
        <v>0.9538461538461539</v>
      </c>
      <c r="AR127" s="6">
        <f t="shared" si="23"/>
        <v>0.87779886148007591</v>
      </c>
      <c r="AS127" s="6">
        <f t="shared" si="24"/>
        <v>1.0497798848628512</v>
      </c>
      <c r="AT127" s="6">
        <f t="shared" si="27"/>
        <v>7.7953915154912137E-2</v>
      </c>
      <c r="AU127" s="6">
        <f t="shared" si="26"/>
        <v>7.7754451442344441E-2</v>
      </c>
      <c r="AV127" s="5">
        <f t="shared" si="28"/>
        <v>0</v>
      </c>
      <c r="AW127" s="5">
        <f t="shared" si="29"/>
        <v>5</v>
      </c>
      <c r="AX127" s="5">
        <f t="shared" si="30"/>
        <v>0</v>
      </c>
      <c r="AY127" s="5">
        <f t="shared" si="31"/>
        <v>0</v>
      </c>
      <c r="AZ127" s="5">
        <f t="shared" si="25"/>
        <v>0</v>
      </c>
    </row>
    <row r="128" spans="1:52" x14ac:dyDescent="0.3">
      <c r="A128" s="5" t="s">
        <v>52</v>
      </c>
      <c r="B128" s="5" t="s">
        <v>56</v>
      </c>
      <c r="C128" s="5" t="s">
        <v>54</v>
      </c>
      <c r="D128" s="5" t="s">
        <v>56</v>
      </c>
      <c r="E128" s="5" t="s">
        <v>55</v>
      </c>
      <c r="F128" s="5">
        <v>2</v>
      </c>
      <c r="G128" s="5">
        <v>0.04</v>
      </c>
      <c r="H128" s="5" t="b">
        <v>0</v>
      </c>
      <c r="I128" s="5" t="b">
        <v>0</v>
      </c>
      <c r="J128" s="5" t="b">
        <v>0</v>
      </c>
      <c r="K128" s="5">
        <v>2.9529999999999998</v>
      </c>
      <c r="L128" s="5">
        <v>5.1999999999999998E-2</v>
      </c>
      <c r="M128" s="5">
        <v>-5.8000000000000003E-2</v>
      </c>
      <c r="N128" s="5">
        <v>12208.22</v>
      </c>
      <c r="O128" s="5">
        <v>7.8E-2</v>
      </c>
      <c r="P128" s="5">
        <v>5.0000000000000001E-3</v>
      </c>
      <c r="Q128" s="6">
        <v>1E-3</v>
      </c>
      <c r="R128" s="6">
        <v>0.18</v>
      </c>
      <c r="S128" s="7">
        <v>1610.4280000000001</v>
      </c>
      <c r="T128" s="5">
        <v>1838.375</v>
      </c>
      <c r="U128" s="5">
        <v>1.5960000000000001</v>
      </c>
      <c r="V128" s="5">
        <v>2.1749999999999998</v>
      </c>
      <c r="W128" s="5">
        <v>1.4750000000000001</v>
      </c>
      <c r="X128" s="5">
        <v>3.5449999999999999</v>
      </c>
      <c r="Y128" s="5">
        <v>8.7940000000000005</v>
      </c>
      <c r="Z128" s="5">
        <v>4351</v>
      </c>
      <c r="AA128" s="5">
        <v>5270</v>
      </c>
      <c r="AB128" s="5">
        <v>4663</v>
      </c>
      <c r="AC128" s="5">
        <v>0.06</v>
      </c>
      <c r="AD128" s="5">
        <v>1</v>
      </c>
      <c r="AE128" s="5">
        <v>0</v>
      </c>
      <c r="AF128" s="5">
        <v>0</v>
      </c>
      <c r="AG128" s="5">
        <v>1</v>
      </c>
      <c r="AH128" s="5">
        <v>2.86</v>
      </c>
      <c r="AI128" s="5">
        <v>2.8624800000000001</v>
      </c>
      <c r="AJ128" s="5">
        <v>-6.8000000000000005E-4</v>
      </c>
      <c r="AK128" s="5">
        <v>-3.2000000000000003E-4</v>
      </c>
      <c r="AL128" s="5">
        <v>0</v>
      </c>
      <c r="AM128" s="5">
        <v>0</v>
      </c>
      <c r="AN128" s="5">
        <v>0.27700000000000002</v>
      </c>
      <c r="AO128" s="6">
        <f t="shared" si="21"/>
        <v>0.82561669829222006</v>
      </c>
      <c r="AP128" s="5">
        <f t="shared" si="22"/>
        <v>312</v>
      </c>
      <c r="AQ128" s="8">
        <f t="shared" si="16"/>
        <v>0.96</v>
      </c>
      <c r="AR128" s="6">
        <f t="shared" si="23"/>
        <v>0.88481973434535099</v>
      </c>
      <c r="AS128" s="6">
        <f t="shared" si="24"/>
        <v>1.0565526583135794</v>
      </c>
      <c r="AT128" s="6">
        <f t="shared" si="27"/>
        <v>0.1254007216091147</v>
      </c>
      <c r="AU128" s="6">
        <f t="shared" si="26"/>
        <v>0.16303904785195986</v>
      </c>
      <c r="AV128" s="5">
        <f t="shared" si="28"/>
        <v>0</v>
      </c>
      <c r="AW128" s="5">
        <f t="shared" si="29"/>
        <v>5</v>
      </c>
      <c r="AX128" s="5">
        <f t="shared" si="30"/>
        <v>0</v>
      </c>
      <c r="AY128" s="5">
        <f t="shared" si="31"/>
        <v>0</v>
      </c>
      <c r="AZ128" s="5">
        <f t="shared" si="25"/>
        <v>0</v>
      </c>
    </row>
    <row r="129" spans="1:52" x14ac:dyDescent="0.3">
      <c r="A129" s="5" t="s">
        <v>52</v>
      </c>
      <c r="B129" s="5" t="s">
        <v>56</v>
      </c>
      <c r="C129" s="5" t="s">
        <v>54</v>
      </c>
      <c r="D129" s="5" t="s">
        <v>58</v>
      </c>
      <c r="E129" s="5" t="s">
        <v>55</v>
      </c>
      <c r="F129" s="5">
        <v>2</v>
      </c>
      <c r="G129" s="5">
        <v>0.04</v>
      </c>
      <c r="H129" s="5" t="b">
        <v>0</v>
      </c>
      <c r="I129" s="5" t="b">
        <v>0</v>
      </c>
      <c r="J129" s="5" t="b">
        <v>0</v>
      </c>
      <c r="K129" s="5">
        <v>2.9529999999999998</v>
      </c>
      <c r="L129" s="5">
        <v>5.1999999999999998E-2</v>
      </c>
      <c r="M129" s="5">
        <v>-5.8000000000000003E-2</v>
      </c>
      <c r="N129" s="5">
        <v>0</v>
      </c>
      <c r="O129" s="5">
        <v>0</v>
      </c>
      <c r="P129" s="5">
        <v>5.0000000000000001E-3</v>
      </c>
      <c r="Q129" s="6">
        <v>1E-3</v>
      </c>
      <c r="R129" s="6">
        <v>0.18</v>
      </c>
      <c r="S129" s="7">
        <v>1622.376</v>
      </c>
      <c r="T129" s="5">
        <v>1838.375</v>
      </c>
      <c r="U129" s="5">
        <v>1.599</v>
      </c>
      <c r="V129" s="5">
        <v>2.25</v>
      </c>
      <c r="W129" s="5">
        <v>1.4379999999999999</v>
      </c>
      <c r="X129" s="5">
        <v>3.9590000000000001</v>
      </c>
      <c r="Y129" s="5">
        <v>9.2479999999999993</v>
      </c>
      <c r="Z129" s="5">
        <v>4386</v>
      </c>
      <c r="AA129" s="5">
        <v>5270</v>
      </c>
      <c r="AB129" s="5">
        <v>4698</v>
      </c>
      <c r="AC129" s="5">
        <v>0.06</v>
      </c>
      <c r="AD129" s="5">
        <v>1</v>
      </c>
      <c r="AE129" s="5">
        <v>0.08</v>
      </c>
      <c r="AF129" s="5">
        <v>0</v>
      </c>
      <c r="AG129" s="5">
        <v>1</v>
      </c>
      <c r="AH129" s="5">
        <v>2.88</v>
      </c>
      <c r="AI129" s="5">
        <v>2.8782199999999998</v>
      </c>
      <c r="AJ129" s="5">
        <v>1.32E-3</v>
      </c>
      <c r="AK129" s="5">
        <v>9.0000000000000006E-5</v>
      </c>
      <c r="AL129" s="5">
        <v>0</v>
      </c>
      <c r="AM129" s="5">
        <v>0</v>
      </c>
      <c r="AN129" s="5">
        <v>0.27300000000000002</v>
      </c>
      <c r="AO129" s="6">
        <f t="shared" si="21"/>
        <v>0.83225806451612905</v>
      </c>
      <c r="AP129" s="5">
        <f t="shared" si="22"/>
        <v>312</v>
      </c>
      <c r="AQ129" s="8">
        <f t="shared" si="16"/>
        <v>0.96</v>
      </c>
      <c r="AR129" s="6">
        <f t="shared" si="23"/>
        <v>0.89146110056925998</v>
      </c>
      <c r="AS129" s="6">
        <f t="shared" si="24"/>
        <v>1.0565526583135794</v>
      </c>
      <c r="AT129" s="6">
        <f t="shared" si="27"/>
        <v>6.3795916434310471E-2</v>
      </c>
      <c r="AU129" s="6">
        <f t="shared" si="26"/>
        <v>0</v>
      </c>
      <c r="AV129" s="5">
        <f t="shared" si="28"/>
        <v>0</v>
      </c>
      <c r="AW129" s="5">
        <f t="shared" si="29"/>
        <v>5</v>
      </c>
      <c r="AX129" s="5">
        <f t="shared" si="30"/>
        <v>0</v>
      </c>
      <c r="AY129" s="5">
        <f t="shared" si="31"/>
        <v>0</v>
      </c>
      <c r="AZ129" s="5">
        <f t="shared" si="25"/>
        <v>0</v>
      </c>
    </row>
    <row r="130" spans="1:52" x14ac:dyDescent="0.3">
      <c r="A130" s="5" t="s">
        <v>52</v>
      </c>
      <c r="B130" s="5" t="s">
        <v>56</v>
      </c>
      <c r="C130" s="5" t="s">
        <v>54</v>
      </c>
      <c r="D130" s="5" t="s">
        <v>56</v>
      </c>
      <c r="E130" s="5" t="s">
        <v>55</v>
      </c>
      <c r="F130" s="5">
        <v>2</v>
      </c>
      <c r="G130" s="5">
        <v>0.04</v>
      </c>
      <c r="H130" s="5" t="b">
        <v>0</v>
      </c>
      <c r="I130" s="5" t="b">
        <v>0</v>
      </c>
      <c r="J130" s="5" t="b">
        <v>0</v>
      </c>
      <c r="K130" s="5">
        <v>2.9529999999999998</v>
      </c>
      <c r="L130" s="5">
        <v>5.1999999999999998E-2</v>
      </c>
      <c r="M130" s="5">
        <v>-5.8000000000000003E-2</v>
      </c>
      <c r="N130" s="5">
        <v>10963.848</v>
      </c>
      <c r="O130" s="5">
        <v>8.1000000000000003E-2</v>
      </c>
      <c r="P130" s="5">
        <v>5.0000000000000001E-3</v>
      </c>
      <c r="Q130" s="6">
        <v>1E-3</v>
      </c>
      <c r="R130" s="6">
        <v>0.18</v>
      </c>
      <c r="S130" s="7">
        <v>1637.9670000000001</v>
      </c>
      <c r="T130" s="5">
        <v>1838.375</v>
      </c>
      <c r="U130" s="5">
        <v>1.526</v>
      </c>
      <c r="V130" s="5">
        <v>2.1869999999999998</v>
      </c>
      <c r="W130" s="5">
        <v>1.5089999999999999</v>
      </c>
      <c r="X130" s="5">
        <v>3.6509999999999998</v>
      </c>
      <c r="Y130" s="5">
        <v>8.875</v>
      </c>
      <c r="Z130" s="5">
        <v>4431</v>
      </c>
      <c r="AA130" s="5">
        <v>5270</v>
      </c>
      <c r="AB130" s="5">
        <v>4735</v>
      </c>
      <c r="AC130" s="5">
        <v>0.06</v>
      </c>
      <c r="AD130" s="5">
        <v>1</v>
      </c>
      <c r="AE130" s="5">
        <v>0</v>
      </c>
      <c r="AF130" s="5">
        <v>0</v>
      </c>
      <c r="AG130" s="5">
        <v>1</v>
      </c>
      <c r="AH130" s="5">
        <v>2.86</v>
      </c>
      <c r="AI130" s="5">
        <v>2.8721100000000002</v>
      </c>
      <c r="AJ130" s="5">
        <v>-3.8999999999999999E-4</v>
      </c>
      <c r="AK130" s="5">
        <v>-6.0000000000000002E-5</v>
      </c>
      <c r="AL130" s="5">
        <v>0</v>
      </c>
      <c r="AM130" s="5">
        <v>0</v>
      </c>
      <c r="AN130" s="5">
        <v>0.27300000000000002</v>
      </c>
      <c r="AO130" s="6">
        <f t="shared" si="21"/>
        <v>0.84079696394686909</v>
      </c>
      <c r="AP130" s="5">
        <f t="shared" si="22"/>
        <v>304</v>
      </c>
      <c r="AQ130" s="8">
        <f t="shared" ref="AQ130:AQ155" si="32">AP130/MAX(AP:AP)</f>
        <v>0.93538461538461537</v>
      </c>
      <c r="AR130" s="6">
        <f t="shared" si="23"/>
        <v>0.89848197343453506</v>
      </c>
      <c r="AS130" s="6">
        <f t="shared" si="24"/>
        <v>1.0294615645106671</v>
      </c>
      <c r="AT130" s="6">
        <f t="shared" si="27"/>
        <v>-3.8827391884590647E-2</v>
      </c>
      <c r="AU130" s="6">
        <f t="shared" si="26"/>
        <v>-0.51311654159450559</v>
      </c>
      <c r="AV130" s="5">
        <f t="shared" ref="AV130:AV155" si="33">IF(B130="ACCELERATION",5,0)</f>
        <v>0</v>
      </c>
      <c r="AW130" s="5">
        <f t="shared" ref="AW130:AW155" si="34">IF(B130="CRUISING",5,0)</f>
        <v>5</v>
      </c>
      <c r="AX130" s="5">
        <f t="shared" ref="AX130:AX155" si="35">IF(B130="DECELERATION",5,0)</f>
        <v>0</v>
      </c>
      <c r="AY130" s="5">
        <f t="shared" ref="AY130:AY155" si="36">IF(B130="END",5,0)</f>
        <v>0</v>
      </c>
      <c r="AZ130" s="5">
        <f t="shared" si="25"/>
        <v>0</v>
      </c>
    </row>
    <row r="131" spans="1:52" x14ac:dyDescent="0.3">
      <c r="A131" s="5" t="s">
        <v>52</v>
      </c>
      <c r="B131" s="5" t="s">
        <v>56</v>
      </c>
      <c r="C131" s="5" t="s">
        <v>54</v>
      </c>
      <c r="D131" s="5" t="s">
        <v>56</v>
      </c>
      <c r="E131" s="5" t="s">
        <v>55</v>
      </c>
      <c r="F131" s="5">
        <v>2</v>
      </c>
      <c r="G131" s="5">
        <v>0.04</v>
      </c>
      <c r="H131" s="5" t="b">
        <v>0</v>
      </c>
      <c r="I131" s="5" t="b">
        <v>0</v>
      </c>
      <c r="J131" s="5" t="b">
        <v>0</v>
      </c>
      <c r="K131" s="5">
        <v>2.9529999999999998</v>
      </c>
      <c r="L131" s="5">
        <v>5.1999999999999998E-2</v>
      </c>
      <c r="M131" s="5">
        <v>-5.8000000000000003E-2</v>
      </c>
      <c r="N131" s="5">
        <v>10405.734</v>
      </c>
      <c r="O131" s="5">
        <v>8.1000000000000003E-2</v>
      </c>
      <c r="P131" s="5">
        <v>5.0000000000000001E-3</v>
      </c>
      <c r="Q131" s="6">
        <v>1E-3</v>
      </c>
      <c r="R131" s="6">
        <v>0.18</v>
      </c>
      <c r="S131" s="7">
        <v>1649.9490000000001</v>
      </c>
      <c r="T131" s="5">
        <v>1838.375</v>
      </c>
      <c r="U131" s="5">
        <v>1.8160000000000001</v>
      </c>
      <c r="V131" s="5">
        <v>2.2440000000000002</v>
      </c>
      <c r="W131" s="5">
        <v>1.466</v>
      </c>
      <c r="X131" s="5">
        <v>3.6459999999999999</v>
      </c>
      <c r="Y131" s="5">
        <v>9.1739999999999995</v>
      </c>
      <c r="Z131" s="5">
        <v>4465</v>
      </c>
      <c r="AA131" s="5">
        <v>5270</v>
      </c>
      <c r="AB131" s="5">
        <v>4780</v>
      </c>
      <c r="AC131" s="5">
        <v>0.06</v>
      </c>
      <c r="AD131" s="5">
        <v>1</v>
      </c>
      <c r="AE131" s="5">
        <v>0</v>
      </c>
      <c r="AF131" s="5">
        <v>0</v>
      </c>
      <c r="AG131" s="5">
        <v>1</v>
      </c>
      <c r="AH131" s="5">
        <v>2.88</v>
      </c>
      <c r="AI131" s="5">
        <v>2.8770600000000002</v>
      </c>
      <c r="AJ131" s="5">
        <v>4.0999999999999999E-4</v>
      </c>
      <c r="AK131" s="5">
        <v>1.9000000000000001E-4</v>
      </c>
      <c r="AL131" s="5">
        <v>0</v>
      </c>
      <c r="AM131" s="5">
        <v>0</v>
      </c>
      <c r="AN131" s="5">
        <v>0.26600000000000001</v>
      </c>
      <c r="AO131" s="6">
        <f t="shared" ref="AO131:AO188" si="37">Z131/AA131</f>
        <v>0.84724857685009491</v>
      </c>
      <c r="AP131" s="5">
        <f t="shared" ref="AP131:AP188" si="38">AB131-Z131</f>
        <v>315</v>
      </c>
      <c r="AQ131" s="8">
        <f t="shared" si="32"/>
        <v>0.96923076923076923</v>
      </c>
      <c r="AR131" s="6">
        <f t="shared" ref="AR131:AR188" si="39">AB131/AA131</f>
        <v>0.90702087286527511</v>
      </c>
      <c r="AS131" s="6">
        <f t="shared" ref="AS131:AS188" si="40">AP131/(100*K131)</f>
        <v>1.0667118184896716</v>
      </c>
      <c r="AT131" s="6">
        <f t="shared" si="27"/>
        <v>0.12914413799297303</v>
      </c>
      <c r="AU131" s="6">
        <f t="shared" si="26"/>
        <v>0.91804373226506653</v>
      </c>
      <c r="AV131" s="5">
        <f t="shared" si="33"/>
        <v>0</v>
      </c>
      <c r="AW131" s="5">
        <f t="shared" si="34"/>
        <v>5</v>
      </c>
      <c r="AX131" s="5">
        <f t="shared" si="35"/>
        <v>0</v>
      </c>
      <c r="AY131" s="5">
        <f t="shared" si="36"/>
        <v>0</v>
      </c>
      <c r="AZ131" s="5">
        <f t="shared" ref="AZ131:AZ188" si="41">IF(ABS(Z131-AA131)&lt;5,5,0)</f>
        <v>0</v>
      </c>
    </row>
    <row r="132" spans="1:52" x14ac:dyDescent="0.3">
      <c r="A132" s="5" t="s">
        <v>52</v>
      </c>
      <c r="B132" s="5" t="s">
        <v>56</v>
      </c>
      <c r="C132" s="5" t="s">
        <v>54</v>
      </c>
      <c r="D132" s="5" t="s">
        <v>56</v>
      </c>
      <c r="E132" s="5" t="s">
        <v>55</v>
      </c>
      <c r="F132" s="5">
        <v>2</v>
      </c>
      <c r="G132" s="5">
        <v>0.04</v>
      </c>
      <c r="H132" s="5" t="b">
        <v>0</v>
      </c>
      <c r="I132" s="5" t="b">
        <v>0</v>
      </c>
      <c r="J132" s="5" t="b">
        <v>0</v>
      </c>
      <c r="K132" s="5">
        <v>2.9529999999999998</v>
      </c>
      <c r="L132" s="5">
        <v>5.1999999999999998E-2</v>
      </c>
      <c r="M132" s="5">
        <v>-5.8000000000000003E-2</v>
      </c>
      <c r="N132" s="5">
        <v>9883.5570000000007</v>
      </c>
      <c r="O132" s="5">
        <v>8.1000000000000003E-2</v>
      </c>
      <c r="P132" s="5">
        <v>5.0000000000000001E-3</v>
      </c>
      <c r="Q132" s="6">
        <v>1E-3</v>
      </c>
      <c r="R132" s="6">
        <v>0.18</v>
      </c>
      <c r="S132" s="7">
        <v>1662.2829999999999</v>
      </c>
      <c r="T132" s="5">
        <v>1838.375</v>
      </c>
      <c r="U132" s="5">
        <v>1.68</v>
      </c>
      <c r="V132" s="5">
        <v>2.286</v>
      </c>
      <c r="W132" s="5">
        <v>1.6</v>
      </c>
      <c r="X132" s="5">
        <v>4.9020000000000001</v>
      </c>
      <c r="Y132" s="5">
        <v>10.47</v>
      </c>
      <c r="Z132" s="5">
        <v>4501</v>
      </c>
      <c r="AA132" s="5">
        <v>5270</v>
      </c>
      <c r="AB132" s="5">
        <v>4816</v>
      </c>
      <c r="AC132" s="5">
        <v>0.06</v>
      </c>
      <c r="AD132" s="5">
        <v>1</v>
      </c>
      <c r="AE132" s="5">
        <v>0</v>
      </c>
      <c r="AF132" s="5">
        <v>0</v>
      </c>
      <c r="AG132" s="5">
        <v>1</v>
      </c>
      <c r="AH132" s="5">
        <v>2.88</v>
      </c>
      <c r="AI132" s="5">
        <v>2.8851399999999998</v>
      </c>
      <c r="AJ132" s="5">
        <v>6.4999999999999997E-4</v>
      </c>
      <c r="AK132" s="5">
        <v>2.2000000000000001E-4</v>
      </c>
      <c r="AL132" s="5">
        <v>0</v>
      </c>
      <c r="AM132" s="5">
        <v>0</v>
      </c>
      <c r="AN132" s="5">
        <v>0.26900000000000002</v>
      </c>
      <c r="AO132" s="6">
        <f t="shared" si="37"/>
        <v>0.85407969639468695</v>
      </c>
      <c r="AP132" s="5">
        <f t="shared" si="38"/>
        <v>315</v>
      </c>
      <c r="AQ132" s="8">
        <f t="shared" si="32"/>
        <v>0.96923076923076923</v>
      </c>
      <c r="AR132" s="6">
        <f t="shared" si="39"/>
        <v>0.91385199240986714</v>
      </c>
      <c r="AS132" s="6">
        <f t="shared" si="40"/>
        <v>1.0667118184896716</v>
      </c>
      <c r="AT132" s="6">
        <f t="shared" si="27"/>
        <v>0.11359324770450416</v>
      </c>
      <c r="AU132" s="6">
        <f t="shared" ref="AU132:AU188" si="42">(AP132-AP131)/(S132-S131)</f>
        <v>0</v>
      </c>
      <c r="AV132" s="5">
        <f t="shared" si="33"/>
        <v>0</v>
      </c>
      <c r="AW132" s="5">
        <f t="shared" si="34"/>
        <v>5</v>
      </c>
      <c r="AX132" s="5">
        <f t="shared" si="35"/>
        <v>0</v>
      </c>
      <c r="AY132" s="5">
        <f t="shared" si="36"/>
        <v>0</v>
      </c>
      <c r="AZ132" s="5">
        <f t="shared" si="41"/>
        <v>0</v>
      </c>
    </row>
    <row r="133" spans="1:52" x14ac:dyDescent="0.3">
      <c r="A133" s="5" t="s">
        <v>52</v>
      </c>
      <c r="B133" s="5" t="s">
        <v>56</v>
      </c>
      <c r="C133" s="5" t="s">
        <v>54</v>
      </c>
      <c r="D133" s="5" t="s">
        <v>56</v>
      </c>
      <c r="E133" s="5" t="s">
        <v>55</v>
      </c>
      <c r="F133" s="5">
        <v>2</v>
      </c>
      <c r="G133" s="5">
        <v>0.04</v>
      </c>
      <c r="H133" s="5" t="b">
        <v>0</v>
      </c>
      <c r="I133" s="5" t="b">
        <v>0</v>
      </c>
      <c r="J133" s="5" t="b">
        <v>0</v>
      </c>
      <c r="K133" s="5">
        <v>2.9529999999999998</v>
      </c>
      <c r="L133" s="5">
        <v>5.1999999999999998E-2</v>
      </c>
      <c r="M133" s="5">
        <v>-5.8000000000000003E-2</v>
      </c>
      <c r="N133" s="5">
        <v>3370.306</v>
      </c>
      <c r="O133" s="5">
        <v>0.22800000000000001</v>
      </c>
      <c r="P133" s="5">
        <v>5.0000000000000001E-3</v>
      </c>
      <c r="Q133" s="6">
        <v>1E-3</v>
      </c>
      <c r="R133" s="6">
        <v>0.18</v>
      </c>
      <c r="S133" s="7">
        <v>1675.7909999999999</v>
      </c>
      <c r="T133" s="5">
        <v>1838.375</v>
      </c>
      <c r="U133" s="5">
        <v>2.6320000000000001</v>
      </c>
      <c r="V133" s="5">
        <v>2.5419999999999998</v>
      </c>
      <c r="W133" s="5">
        <v>1.6259999999999999</v>
      </c>
      <c r="X133" s="5">
        <v>3.871</v>
      </c>
      <c r="Y133" s="5">
        <v>10.672000000000001</v>
      </c>
      <c r="Z133" s="5">
        <v>4539</v>
      </c>
      <c r="AA133" s="5">
        <v>5270</v>
      </c>
      <c r="AB133" s="5">
        <v>4856</v>
      </c>
      <c r="AC133" s="5">
        <v>0.06</v>
      </c>
      <c r="AD133" s="5">
        <v>1</v>
      </c>
      <c r="AE133" s="5">
        <v>0</v>
      </c>
      <c r="AF133" s="5">
        <v>0</v>
      </c>
      <c r="AG133" s="5">
        <v>1</v>
      </c>
      <c r="AH133" s="5">
        <v>2.92</v>
      </c>
      <c r="AI133" s="5">
        <v>2.8762500000000002</v>
      </c>
      <c r="AJ133" s="5">
        <v>-6.6E-4</v>
      </c>
      <c r="AK133" s="5">
        <v>2.1000000000000001E-4</v>
      </c>
      <c r="AL133" s="5">
        <v>0</v>
      </c>
      <c r="AM133" s="5">
        <v>0</v>
      </c>
      <c r="AN133" s="5">
        <v>0.26900000000000002</v>
      </c>
      <c r="AO133" s="6">
        <f t="shared" si="37"/>
        <v>0.8612903225806452</v>
      </c>
      <c r="AP133" s="5">
        <f t="shared" si="38"/>
        <v>317</v>
      </c>
      <c r="AQ133" s="8">
        <f t="shared" si="32"/>
        <v>0.97538461538461541</v>
      </c>
      <c r="AR133" s="6">
        <f t="shared" si="39"/>
        <v>0.9214421252371916</v>
      </c>
      <c r="AS133" s="6">
        <f t="shared" si="40"/>
        <v>1.0734845919403995</v>
      </c>
      <c r="AT133" s="6">
        <f t="shared" si="27"/>
        <v>0.11059751986345767</v>
      </c>
      <c r="AU133" s="6">
        <f t="shared" si="42"/>
        <v>0.14806040864672745</v>
      </c>
      <c r="AV133" s="5">
        <f t="shared" si="33"/>
        <v>0</v>
      </c>
      <c r="AW133" s="5">
        <f t="shared" si="34"/>
        <v>5</v>
      </c>
      <c r="AX133" s="5">
        <f t="shared" si="35"/>
        <v>0</v>
      </c>
      <c r="AY133" s="5">
        <f t="shared" si="36"/>
        <v>0</v>
      </c>
      <c r="AZ133" s="5">
        <f t="shared" si="41"/>
        <v>0</v>
      </c>
    </row>
    <row r="134" spans="1:52" x14ac:dyDescent="0.3">
      <c r="A134" s="5" t="s">
        <v>52</v>
      </c>
      <c r="B134" s="5" t="s">
        <v>56</v>
      </c>
      <c r="C134" s="5" t="s">
        <v>54</v>
      </c>
      <c r="D134" s="5" t="s">
        <v>56</v>
      </c>
      <c r="E134" s="5" t="s">
        <v>55</v>
      </c>
      <c r="F134" s="5">
        <v>2</v>
      </c>
      <c r="G134" s="5">
        <v>0.04</v>
      </c>
      <c r="H134" s="5" t="b">
        <v>0</v>
      </c>
      <c r="I134" s="5" t="b">
        <v>0</v>
      </c>
      <c r="J134" s="5" t="b">
        <v>0</v>
      </c>
      <c r="K134" s="5">
        <v>2.9529999999999998</v>
      </c>
      <c r="L134" s="5">
        <v>5.1999999999999998E-2</v>
      </c>
      <c r="M134" s="5">
        <v>-5.8000000000000003E-2</v>
      </c>
      <c r="N134" s="5">
        <v>2853.95</v>
      </c>
      <c r="O134" s="5">
        <v>0.25600000000000001</v>
      </c>
      <c r="P134" s="5">
        <v>5.0000000000000001E-3</v>
      </c>
      <c r="Q134" s="6">
        <v>1E-3</v>
      </c>
      <c r="R134" s="6">
        <v>0.18</v>
      </c>
      <c r="S134" s="7">
        <v>1689.614</v>
      </c>
      <c r="T134" s="5">
        <v>1838.375</v>
      </c>
      <c r="U134" s="5">
        <v>1.4630000000000001</v>
      </c>
      <c r="V134" s="5">
        <v>2.2469999999999999</v>
      </c>
      <c r="W134" s="5">
        <v>3.137</v>
      </c>
      <c r="X134" s="5">
        <v>3.8719999999999999</v>
      </c>
      <c r="Y134" s="5">
        <v>10.721</v>
      </c>
      <c r="Z134" s="5">
        <v>4579</v>
      </c>
      <c r="AA134" s="5">
        <v>5270</v>
      </c>
      <c r="AB134" s="5">
        <v>4897</v>
      </c>
      <c r="AC134" s="5">
        <v>0.06</v>
      </c>
      <c r="AD134" s="5">
        <v>1</v>
      </c>
      <c r="AE134" s="5">
        <v>0</v>
      </c>
      <c r="AF134" s="5">
        <v>0</v>
      </c>
      <c r="AG134" s="5">
        <v>1</v>
      </c>
      <c r="AH134" s="5">
        <v>2.88</v>
      </c>
      <c r="AI134" s="5">
        <v>2.8703699999999999</v>
      </c>
      <c r="AJ134" s="5">
        <v>-4.2999999999999999E-4</v>
      </c>
      <c r="AK134" s="5">
        <v>-1.2E-4</v>
      </c>
      <c r="AL134" s="5">
        <v>0</v>
      </c>
      <c r="AM134" s="5">
        <v>0</v>
      </c>
      <c r="AN134" s="5">
        <v>0.26900000000000002</v>
      </c>
      <c r="AO134" s="6">
        <f t="shared" si="37"/>
        <v>0.86888045540796965</v>
      </c>
      <c r="AP134" s="5">
        <f t="shared" si="38"/>
        <v>318</v>
      </c>
      <c r="AQ134" s="8">
        <f t="shared" si="32"/>
        <v>0.97846153846153849</v>
      </c>
      <c r="AR134" s="6">
        <f t="shared" si="39"/>
        <v>0.92922201138519922</v>
      </c>
      <c r="AS134" s="6">
        <f t="shared" si="40"/>
        <v>1.0768709786657635</v>
      </c>
      <c r="AT134" s="6">
        <f t="shared" si="27"/>
        <v>0.1250661590879385</v>
      </c>
      <c r="AU134" s="6">
        <f t="shared" si="42"/>
        <v>7.2343196122404196E-2</v>
      </c>
      <c r="AV134" s="5">
        <f t="shared" si="33"/>
        <v>0</v>
      </c>
      <c r="AW134" s="5">
        <f t="shared" si="34"/>
        <v>5</v>
      </c>
      <c r="AX134" s="5">
        <f t="shared" si="35"/>
        <v>0</v>
      </c>
      <c r="AY134" s="5">
        <f t="shared" si="36"/>
        <v>0</v>
      </c>
      <c r="AZ134" s="5">
        <f t="shared" si="41"/>
        <v>0</v>
      </c>
    </row>
    <row r="135" spans="1:52" x14ac:dyDescent="0.3">
      <c r="A135" s="5" t="s">
        <v>52</v>
      </c>
      <c r="B135" s="5" t="s">
        <v>56</v>
      </c>
      <c r="C135" s="5" t="s">
        <v>54</v>
      </c>
      <c r="D135" s="5" t="s">
        <v>56</v>
      </c>
      <c r="E135" s="5" t="s">
        <v>55</v>
      </c>
      <c r="F135" s="5">
        <v>2</v>
      </c>
      <c r="G135" s="5">
        <v>0.04</v>
      </c>
      <c r="H135" s="5" t="b">
        <v>0</v>
      </c>
      <c r="I135" s="5" t="b">
        <v>0</v>
      </c>
      <c r="J135" s="5" t="b">
        <v>0</v>
      </c>
      <c r="K135" s="5">
        <v>2.9529999999999998</v>
      </c>
      <c r="L135" s="5">
        <v>5.1999999999999998E-2</v>
      </c>
      <c r="M135" s="5">
        <v>-5.8000000000000003E-2</v>
      </c>
      <c r="N135" s="5">
        <v>4750.7370000000001</v>
      </c>
      <c r="O135" s="5">
        <v>0.14499999999999999</v>
      </c>
      <c r="P135" s="5">
        <v>5.0000000000000001E-3</v>
      </c>
      <c r="Q135" s="6">
        <v>1E-3</v>
      </c>
      <c r="R135" s="6">
        <v>0.18</v>
      </c>
      <c r="S135" s="7">
        <v>1703.5709999999999</v>
      </c>
      <c r="T135" s="5">
        <v>1838.375</v>
      </c>
      <c r="U135" s="5">
        <v>1.577</v>
      </c>
      <c r="V135" s="5">
        <v>2.2719999999999998</v>
      </c>
      <c r="W135" s="5">
        <v>1.4810000000000001</v>
      </c>
      <c r="X135" s="5">
        <v>3.6469999999999998</v>
      </c>
      <c r="Y135" s="5">
        <v>8.9789999999999992</v>
      </c>
      <c r="Z135" s="5">
        <v>4619</v>
      </c>
      <c r="AA135" s="5">
        <v>5270</v>
      </c>
      <c r="AB135" s="5">
        <v>4938</v>
      </c>
      <c r="AC135" s="5">
        <v>0.06</v>
      </c>
      <c r="AD135" s="5">
        <v>1</v>
      </c>
      <c r="AE135" s="5">
        <v>0</v>
      </c>
      <c r="AF135" s="5">
        <v>0</v>
      </c>
      <c r="AG135" s="5">
        <v>1</v>
      </c>
      <c r="AH135" s="5">
        <v>2.88</v>
      </c>
      <c r="AI135" s="5">
        <v>2.8656999999999999</v>
      </c>
      <c r="AJ135" s="5">
        <v>-3.3E-4</v>
      </c>
      <c r="AK135" s="5">
        <v>-1E-4</v>
      </c>
      <c r="AL135" s="5">
        <v>0</v>
      </c>
      <c r="AM135" s="5">
        <v>0</v>
      </c>
      <c r="AN135" s="5">
        <v>0.26600000000000001</v>
      </c>
      <c r="AO135" s="6">
        <f t="shared" si="37"/>
        <v>0.87647058823529411</v>
      </c>
      <c r="AP135" s="5">
        <f t="shared" si="38"/>
        <v>319</v>
      </c>
      <c r="AQ135" s="8">
        <f t="shared" si="32"/>
        <v>0.98153846153846158</v>
      </c>
      <c r="AR135" s="6">
        <f t="shared" si="39"/>
        <v>0.93700189753320684</v>
      </c>
      <c r="AS135" s="6">
        <f t="shared" si="40"/>
        <v>1.0802573653911276</v>
      </c>
      <c r="AT135" s="6">
        <f t="shared" ref="AT135:AT155" si="43">AVERAGE(AU131:AU135)</f>
        <v>0.24201919442554004</v>
      </c>
      <c r="AU135" s="6">
        <f t="shared" si="42"/>
        <v>7.1648635093502083E-2</v>
      </c>
      <c r="AV135" s="5">
        <f t="shared" si="33"/>
        <v>0</v>
      </c>
      <c r="AW135" s="5">
        <f t="shared" si="34"/>
        <v>5</v>
      </c>
      <c r="AX135" s="5">
        <f t="shared" si="35"/>
        <v>0</v>
      </c>
      <c r="AY135" s="5">
        <f t="shared" si="36"/>
        <v>0</v>
      </c>
      <c r="AZ135" s="5">
        <f t="shared" si="41"/>
        <v>0</v>
      </c>
    </row>
    <row r="136" spans="1:52" x14ac:dyDescent="0.3">
      <c r="A136" s="5" t="s">
        <v>52</v>
      </c>
      <c r="B136" s="5" t="s">
        <v>56</v>
      </c>
      <c r="C136" s="5" t="s">
        <v>54</v>
      </c>
      <c r="D136" s="5" t="s">
        <v>56</v>
      </c>
      <c r="E136" s="5" t="s">
        <v>55</v>
      </c>
      <c r="F136" s="5">
        <v>2</v>
      </c>
      <c r="G136" s="5">
        <v>0.04</v>
      </c>
      <c r="H136" s="5" t="b">
        <v>0</v>
      </c>
      <c r="I136" s="5" t="b">
        <v>0</v>
      </c>
      <c r="J136" s="5" t="b">
        <v>0</v>
      </c>
      <c r="K136" s="5">
        <v>2.9529999999999998</v>
      </c>
      <c r="L136" s="5">
        <v>5.1999999999999998E-2</v>
      </c>
      <c r="M136" s="5">
        <v>-5.8000000000000003E-2</v>
      </c>
      <c r="N136" s="5">
        <v>-5097.2049999999999</v>
      </c>
      <c r="O136" s="5">
        <v>-0.128</v>
      </c>
      <c r="P136" s="5">
        <v>5.0000000000000001E-3</v>
      </c>
      <c r="Q136" s="6">
        <v>1E-3</v>
      </c>
      <c r="R136" s="6">
        <v>0.18</v>
      </c>
      <c r="S136" s="7">
        <v>1715.6210000000001</v>
      </c>
      <c r="T136" s="5">
        <v>1838.375</v>
      </c>
      <c r="U136" s="5">
        <v>1.702</v>
      </c>
      <c r="V136" s="5">
        <v>2.1749999999999998</v>
      </c>
      <c r="W136" s="5">
        <v>1.5</v>
      </c>
      <c r="X136" s="5">
        <v>3.7280000000000002</v>
      </c>
      <c r="Y136" s="5">
        <v>9.1069999999999993</v>
      </c>
      <c r="Z136" s="5">
        <v>4654</v>
      </c>
      <c r="AA136" s="5">
        <v>5270</v>
      </c>
      <c r="AB136" s="5">
        <v>4974</v>
      </c>
      <c r="AC136" s="5">
        <v>0.06</v>
      </c>
      <c r="AD136" s="5">
        <v>1</v>
      </c>
      <c r="AE136" s="5">
        <v>0</v>
      </c>
      <c r="AF136" s="5">
        <v>0</v>
      </c>
      <c r="AG136" s="5">
        <v>1</v>
      </c>
      <c r="AH136" s="5">
        <v>2.88</v>
      </c>
      <c r="AI136" s="5">
        <v>2.8779499999999998</v>
      </c>
      <c r="AJ136" s="5">
        <v>1.0200000000000001E-3</v>
      </c>
      <c r="AK136" s="5">
        <v>1.0000000000000001E-5</v>
      </c>
      <c r="AL136" s="5">
        <v>0</v>
      </c>
      <c r="AM136" s="5">
        <v>0</v>
      </c>
      <c r="AN136" s="5">
        <v>0.26900000000000002</v>
      </c>
      <c r="AO136" s="6">
        <f t="shared" si="37"/>
        <v>0.88311195445920299</v>
      </c>
      <c r="AP136" s="5">
        <f t="shared" si="38"/>
        <v>320</v>
      </c>
      <c r="AQ136" s="8">
        <f t="shared" si="32"/>
        <v>0.98461538461538467</v>
      </c>
      <c r="AR136" s="6">
        <f t="shared" si="39"/>
        <v>0.94383301707779887</v>
      </c>
      <c r="AS136" s="6">
        <f t="shared" si="40"/>
        <v>1.0836437521164917</v>
      </c>
      <c r="AT136" s="6">
        <f t="shared" si="43"/>
        <v>7.5007958345970488E-2</v>
      </c>
      <c r="AU136" s="6">
        <f t="shared" si="42"/>
        <v>8.2987551867218665E-2</v>
      </c>
      <c r="AV136" s="5">
        <f t="shared" si="33"/>
        <v>0</v>
      </c>
      <c r="AW136" s="5">
        <f t="shared" si="34"/>
        <v>5</v>
      </c>
      <c r="AX136" s="5">
        <f t="shared" si="35"/>
        <v>0</v>
      </c>
      <c r="AY136" s="5">
        <f t="shared" si="36"/>
        <v>0</v>
      </c>
      <c r="AZ136" s="5">
        <f t="shared" si="41"/>
        <v>0</v>
      </c>
    </row>
    <row r="137" spans="1:52" x14ac:dyDescent="0.3">
      <c r="A137" s="5" t="s">
        <v>52</v>
      </c>
      <c r="B137" s="5" t="s">
        <v>56</v>
      </c>
      <c r="C137" s="5" t="s">
        <v>54</v>
      </c>
      <c r="D137" s="5" t="s">
        <v>56</v>
      </c>
      <c r="E137" s="5" t="s">
        <v>55</v>
      </c>
      <c r="F137" s="5">
        <v>2</v>
      </c>
      <c r="G137" s="5">
        <v>0.04</v>
      </c>
      <c r="H137" s="5" t="b">
        <v>0</v>
      </c>
      <c r="I137" s="5" t="b">
        <v>0</v>
      </c>
      <c r="J137" s="5" t="b">
        <v>0</v>
      </c>
      <c r="K137" s="5">
        <v>2.9529999999999998</v>
      </c>
      <c r="L137" s="5">
        <v>5.1999999999999998E-2</v>
      </c>
      <c r="M137" s="5">
        <v>-5.8000000000000003E-2</v>
      </c>
      <c r="N137" s="5">
        <v>-5020.826</v>
      </c>
      <c r="O137" s="5">
        <v>-0.123</v>
      </c>
      <c r="P137" s="5">
        <v>5.0000000000000001E-3</v>
      </c>
      <c r="Q137" s="6">
        <v>1E-3</v>
      </c>
      <c r="R137" s="6">
        <v>0.18</v>
      </c>
      <c r="S137" s="7">
        <v>1727.798</v>
      </c>
      <c r="T137" s="5">
        <v>1838.375</v>
      </c>
      <c r="U137" s="5">
        <v>1.633</v>
      </c>
      <c r="V137" s="5">
        <v>2.2440000000000002</v>
      </c>
      <c r="W137" s="5">
        <v>1.4850000000000001</v>
      </c>
      <c r="X137" s="5">
        <v>4.0960000000000001</v>
      </c>
      <c r="Y137" s="5">
        <v>9.4600000000000009</v>
      </c>
      <c r="Z137" s="5">
        <v>4689</v>
      </c>
      <c r="AA137" s="5">
        <v>5270</v>
      </c>
      <c r="AB137" s="5">
        <v>5010</v>
      </c>
      <c r="AC137" s="5">
        <v>0.06</v>
      </c>
      <c r="AD137" s="5">
        <v>1</v>
      </c>
      <c r="AE137" s="5">
        <v>0</v>
      </c>
      <c r="AF137" s="5">
        <v>0</v>
      </c>
      <c r="AG137" s="5">
        <v>1</v>
      </c>
      <c r="AH137" s="5">
        <v>2.84</v>
      </c>
      <c r="AI137" s="5">
        <v>2.86957</v>
      </c>
      <c r="AJ137" s="5">
        <v>-6.8999999999999997E-4</v>
      </c>
      <c r="AK137" s="5">
        <v>-2.4000000000000001E-4</v>
      </c>
      <c r="AL137" s="5">
        <v>0</v>
      </c>
      <c r="AM137" s="5">
        <v>0</v>
      </c>
      <c r="AN137" s="5">
        <v>0.26900000000000002</v>
      </c>
      <c r="AO137" s="6">
        <f t="shared" si="37"/>
        <v>0.88975332068311197</v>
      </c>
      <c r="AP137" s="5">
        <f t="shared" si="38"/>
        <v>321</v>
      </c>
      <c r="AQ137" s="8">
        <f t="shared" si="32"/>
        <v>0.98769230769230765</v>
      </c>
      <c r="AR137" s="6">
        <f t="shared" si="39"/>
        <v>0.95066413662239091</v>
      </c>
      <c r="AS137" s="6">
        <f t="shared" si="40"/>
        <v>1.0870301388418557</v>
      </c>
      <c r="AT137" s="6">
        <f t="shared" si="43"/>
        <v>9.1432365014279718E-2</v>
      </c>
      <c r="AU137" s="6">
        <f t="shared" si="42"/>
        <v>8.2122033341546163E-2</v>
      </c>
      <c r="AV137" s="5">
        <f t="shared" si="33"/>
        <v>0</v>
      </c>
      <c r="AW137" s="5">
        <f t="shared" si="34"/>
        <v>5</v>
      </c>
      <c r="AX137" s="5">
        <f t="shared" si="35"/>
        <v>0</v>
      </c>
      <c r="AY137" s="5">
        <f t="shared" si="36"/>
        <v>0</v>
      </c>
      <c r="AZ137" s="5">
        <f t="shared" si="41"/>
        <v>0</v>
      </c>
    </row>
    <row r="138" spans="1:52" x14ac:dyDescent="0.3">
      <c r="A138" s="5" t="s">
        <v>52</v>
      </c>
      <c r="B138" s="5" t="s">
        <v>56</v>
      </c>
      <c r="C138" s="5" t="s">
        <v>54</v>
      </c>
      <c r="D138" s="5" t="s">
        <v>56</v>
      </c>
      <c r="E138" s="5" t="s">
        <v>55</v>
      </c>
      <c r="F138" s="5">
        <v>2</v>
      </c>
      <c r="G138" s="5">
        <v>0.04</v>
      </c>
      <c r="H138" s="5" t="b">
        <v>0</v>
      </c>
      <c r="I138" s="5" t="b">
        <v>0</v>
      </c>
      <c r="J138" s="5" t="b">
        <v>0</v>
      </c>
      <c r="K138" s="5">
        <v>2.9529999999999998</v>
      </c>
      <c r="L138" s="5">
        <v>5.1999999999999998E-2</v>
      </c>
      <c r="M138" s="5">
        <v>-5.8000000000000003E-2</v>
      </c>
      <c r="N138" s="5">
        <v>4807.1019999999999</v>
      </c>
      <c r="O138" s="5">
        <v>0.121</v>
      </c>
      <c r="P138" s="5">
        <v>5.0000000000000001E-3</v>
      </c>
      <c r="Q138" s="6">
        <v>1E-3</v>
      </c>
      <c r="R138" s="6">
        <v>0.18</v>
      </c>
      <c r="S138" s="7">
        <v>1740.4449999999999</v>
      </c>
      <c r="T138" s="5">
        <v>1838.375</v>
      </c>
      <c r="U138" s="5">
        <v>1.8420000000000001</v>
      </c>
      <c r="V138" s="5">
        <v>2.3439999999999999</v>
      </c>
      <c r="W138" s="5">
        <v>1.5529999999999999</v>
      </c>
      <c r="X138" s="5">
        <v>4.34</v>
      </c>
      <c r="Y138" s="5">
        <v>10.08</v>
      </c>
      <c r="Z138" s="5">
        <v>4725</v>
      </c>
      <c r="AA138" s="5">
        <v>5270</v>
      </c>
      <c r="AB138" s="5">
        <v>5047</v>
      </c>
      <c r="AC138" s="5">
        <v>0.06</v>
      </c>
      <c r="AD138" s="5">
        <v>1</v>
      </c>
      <c r="AE138" s="5">
        <v>0</v>
      </c>
      <c r="AF138" s="5">
        <v>0</v>
      </c>
      <c r="AG138" s="5">
        <v>1</v>
      </c>
      <c r="AH138" s="5">
        <v>2.88</v>
      </c>
      <c r="AI138" s="5">
        <v>2.8768199999999999</v>
      </c>
      <c r="AJ138" s="5">
        <v>5.6999999999999998E-4</v>
      </c>
      <c r="AK138" s="5">
        <v>1.0000000000000001E-5</v>
      </c>
      <c r="AL138" s="5">
        <v>0</v>
      </c>
      <c r="AM138" s="5">
        <v>0</v>
      </c>
      <c r="AN138" s="5">
        <v>0.26900000000000002</v>
      </c>
      <c r="AO138" s="6">
        <f t="shared" si="37"/>
        <v>0.896584440227704</v>
      </c>
      <c r="AP138" s="5">
        <f t="shared" si="38"/>
        <v>322</v>
      </c>
      <c r="AQ138" s="8">
        <f t="shared" si="32"/>
        <v>0.99076923076923074</v>
      </c>
      <c r="AR138" s="6">
        <f t="shared" si="39"/>
        <v>0.95768500948766599</v>
      </c>
      <c r="AS138" s="6">
        <f t="shared" si="40"/>
        <v>1.0904165255672198</v>
      </c>
      <c r="AT138" s="6">
        <f t="shared" si="43"/>
        <v>7.7634310326920544E-2</v>
      </c>
      <c r="AU138" s="6">
        <f t="shared" si="42"/>
        <v>7.9070135209931613E-2</v>
      </c>
      <c r="AV138" s="5">
        <f t="shared" si="33"/>
        <v>0</v>
      </c>
      <c r="AW138" s="5">
        <f t="shared" si="34"/>
        <v>5</v>
      </c>
      <c r="AX138" s="5">
        <f t="shared" si="35"/>
        <v>0</v>
      </c>
      <c r="AY138" s="5">
        <f t="shared" si="36"/>
        <v>0</v>
      </c>
      <c r="AZ138" s="5">
        <f t="shared" si="41"/>
        <v>0</v>
      </c>
    </row>
    <row r="139" spans="1:52" x14ac:dyDescent="0.3">
      <c r="A139" s="5" t="s">
        <v>52</v>
      </c>
      <c r="B139" s="5" t="s">
        <v>56</v>
      </c>
      <c r="C139" s="5" t="s">
        <v>54</v>
      </c>
      <c r="D139" s="5" t="s">
        <v>56</v>
      </c>
      <c r="E139" s="5" t="s">
        <v>55</v>
      </c>
      <c r="F139" s="5">
        <v>2</v>
      </c>
      <c r="G139" s="5">
        <v>0.04</v>
      </c>
      <c r="H139" s="5" t="b">
        <v>0</v>
      </c>
      <c r="I139" s="5" t="b">
        <v>0</v>
      </c>
      <c r="J139" s="5" t="b">
        <v>0</v>
      </c>
      <c r="K139" s="5">
        <v>2.9529999999999998</v>
      </c>
      <c r="L139" s="5">
        <v>5.1999999999999998E-2</v>
      </c>
      <c r="M139" s="5">
        <v>-5.8000000000000003E-2</v>
      </c>
      <c r="N139" s="5">
        <v>2826.63</v>
      </c>
      <c r="O139" s="5">
        <v>0.193</v>
      </c>
      <c r="P139" s="5">
        <v>5.0000000000000001E-3</v>
      </c>
      <c r="Q139" s="6">
        <v>1E-3</v>
      </c>
      <c r="R139" s="6">
        <v>0.18</v>
      </c>
      <c r="S139" s="7">
        <v>1753.8340000000001</v>
      </c>
      <c r="T139" s="5">
        <v>1838.375</v>
      </c>
      <c r="U139" s="5">
        <v>1.7509999999999999</v>
      </c>
      <c r="V139" s="5">
        <v>2.4329999999999998</v>
      </c>
      <c r="W139" s="5">
        <v>1.59</v>
      </c>
      <c r="X139" s="5">
        <v>3.5459999999999998</v>
      </c>
      <c r="Y139" s="5">
        <v>9.3219999999999992</v>
      </c>
      <c r="Z139" s="5">
        <v>4764</v>
      </c>
      <c r="AA139" s="5">
        <v>5270</v>
      </c>
      <c r="AB139" s="5">
        <v>5086</v>
      </c>
      <c r="AC139" s="5">
        <v>0.06</v>
      </c>
      <c r="AD139" s="5">
        <v>1</v>
      </c>
      <c r="AE139" s="5">
        <v>0</v>
      </c>
      <c r="AF139" s="5">
        <v>0</v>
      </c>
      <c r="AG139" s="5">
        <v>1</v>
      </c>
      <c r="AH139" s="5">
        <v>2.86</v>
      </c>
      <c r="AI139" s="5">
        <v>2.8807499999999999</v>
      </c>
      <c r="AJ139" s="5">
        <v>2.9E-4</v>
      </c>
      <c r="AK139" s="5">
        <v>1.6000000000000001E-4</v>
      </c>
      <c r="AL139" s="5">
        <v>0</v>
      </c>
      <c r="AM139" s="5">
        <v>0</v>
      </c>
      <c r="AN139" s="5">
        <v>0.27300000000000002</v>
      </c>
      <c r="AO139" s="6">
        <f t="shared" si="37"/>
        <v>0.9039848197343453</v>
      </c>
      <c r="AP139" s="5">
        <f t="shared" si="38"/>
        <v>322</v>
      </c>
      <c r="AQ139" s="8">
        <f t="shared" si="32"/>
        <v>0.99076923076923074</v>
      </c>
      <c r="AR139" s="6">
        <f t="shared" si="39"/>
        <v>0.9650853889943074</v>
      </c>
      <c r="AS139" s="6">
        <f t="shared" si="40"/>
        <v>1.0904165255672198</v>
      </c>
      <c r="AT139" s="6">
        <f t="shared" si="43"/>
        <v>6.3165671102439702E-2</v>
      </c>
      <c r="AU139" s="6">
        <f t="shared" si="42"/>
        <v>0</v>
      </c>
      <c r="AV139" s="5">
        <f t="shared" si="33"/>
        <v>0</v>
      </c>
      <c r="AW139" s="5">
        <f t="shared" si="34"/>
        <v>5</v>
      </c>
      <c r="AX139" s="5">
        <f t="shared" si="35"/>
        <v>0</v>
      </c>
      <c r="AY139" s="5">
        <f t="shared" si="36"/>
        <v>0</v>
      </c>
      <c r="AZ139" s="5">
        <f t="shared" si="41"/>
        <v>0</v>
      </c>
    </row>
    <row r="140" spans="1:52" x14ac:dyDescent="0.3">
      <c r="A140" s="5" t="s">
        <v>52</v>
      </c>
      <c r="B140" s="5" t="s">
        <v>56</v>
      </c>
      <c r="C140" s="5" t="s">
        <v>54</v>
      </c>
      <c r="D140" s="5" t="s">
        <v>56</v>
      </c>
      <c r="E140" s="5" t="s">
        <v>55</v>
      </c>
      <c r="F140" s="5">
        <v>2</v>
      </c>
      <c r="G140" s="5">
        <v>0.04</v>
      </c>
      <c r="H140" s="5" t="b">
        <v>0</v>
      </c>
      <c r="I140" s="5" t="b">
        <v>0</v>
      </c>
      <c r="J140" s="5" t="b">
        <v>0</v>
      </c>
      <c r="K140" s="5">
        <v>2.9529999999999998</v>
      </c>
      <c r="L140" s="5">
        <v>5.1999999999999998E-2</v>
      </c>
      <c r="M140" s="5">
        <v>-5.8000000000000003E-2</v>
      </c>
      <c r="N140" s="5">
        <v>14961.183000000001</v>
      </c>
      <c r="O140" s="5">
        <v>3.4000000000000002E-2</v>
      </c>
      <c r="P140" s="5">
        <v>5.0000000000000001E-3</v>
      </c>
      <c r="Q140" s="6">
        <v>1E-3</v>
      </c>
      <c r="R140" s="6">
        <v>0.18</v>
      </c>
      <c r="S140" s="7">
        <v>1766.2750000000001</v>
      </c>
      <c r="T140" s="5">
        <v>1838.375</v>
      </c>
      <c r="U140" s="5">
        <v>1.639</v>
      </c>
      <c r="V140" s="5">
        <v>3.1680000000000001</v>
      </c>
      <c r="W140" s="5">
        <v>1.47</v>
      </c>
      <c r="X140" s="5">
        <v>3.4540000000000002</v>
      </c>
      <c r="Y140" s="5">
        <v>9.734</v>
      </c>
      <c r="Z140" s="5">
        <v>4799</v>
      </c>
      <c r="AA140" s="5">
        <v>5270</v>
      </c>
      <c r="AB140" s="5">
        <v>5123</v>
      </c>
      <c r="AC140" s="5">
        <v>0.06</v>
      </c>
      <c r="AD140" s="5">
        <v>1</v>
      </c>
      <c r="AE140" s="5">
        <v>0</v>
      </c>
      <c r="AF140" s="5">
        <v>0</v>
      </c>
      <c r="AG140" s="5">
        <v>1</v>
      </c>
      <c r="AH140" s="5">
        <v>2.88</v>
      </c>
      <c r="AI140" s="5">
        <v>2.8706299999999998</v>
      </c>
      <c r="AJ140" s="5">
        <v>-8.0999999999999996E-4</v>
      </c>
      <c r="AK140" s="5">
        <v>8.0000000000000007E-5</v>
      </c>
      <c r="AL140" s="5">
        <v>0</v>
      </c>
      <c r="AM140" s="5">
        <v>0</v>
      </c>
      <c r="AN140" s="5">
        <v>0.27300000000000002</v>
      </c>
      <c r="AO140" s="6">
        <f t="shared" si="37"/>
        <v>0.91062618595825429</v>
      </c>
      <c r="AP140" s="5">
        <f t="shared" si="38"/>
        <v>324</v>
      </c>
      <c r="AQ140" s="8">
        <f t="shared" si="32"/>
        <v>0.99692307692307691</v>
      </c>
      <c r="AR140" s="6">
        <f t="shared" si="39"/>
        <v>0.97210626185958249</v>
      </c>
      <c r="AS140" s="6">
        <f t="shared" si="40"/>
        <v>1.0971892990179477</v>
      </c>
      <c r="AT140" s="6">
        <f t="shared" si="43"/>
        <v>8.0987700373426535E-2</v>
      </c>
      <c r="AU140" s="6">
        <f t="shared" si="42"/>
        <v>0.16075878144843622</v>
      </c>
      <c r="AV140" s="5">
        <f t="shared" si="33"/>
        <v>0</v>
      </c>
      <c r="AW140" s="5">
        <f t="shared" si="34"/>
        <v>5</v>
      </c>
      <c r="AX140" s="5">
        <f t="shared" si="35"/>
        <v>0</v>
      </c>
      <c r="AY140" s="5">
        <f t="shared" si="36"/>
        <v>0</v>
      </c>
      <c r="AZ140" s="5">
        <f t="shared" si="41"/>
        <v>0</v>
      </c>
    </row>
    <row r="141" spans="1:52" x14ac:dyDescent="0.3">
      <c r="A141" s="5" t="s">
        <v>52</v>
      </c>
      <c r="B141" s="5" t="s">
        <v>56</v>
      </c>
      <c r="C141" s="5" t="s">
        <v>54</v>
      </c>
      <c r="D141" s="5" t="s">
        <v>56</v>
      </c>
      <c r="E141" s="5" t="s">
        <v>55</v>
      </c>
      <c r="F141" s="5">
        <v>2</v>
      </c>
      <c r="G141" s="5">
        <v>0.04</v>
      </c>
      <c r="H141" s="5" t="b">
        <v>0</v>
      </c>
      <c r="I141" s="5" t="b">
        <v>0</v>
      </c>
      <c r="J141" s="5" t="b">
        <v>0</v>
      </c>
      <c r="K141" s="5">
        <v>2.9529999999999998</v>
      </c>
      <c r="L141" s="5">
        <v>5.1999999999999998E-2</v>
      </c>
      <c r="M141" s="5">
        <v>-5.8000000000000003E-2</v>
      </c>
      <c r="N141" s="5">
        <v>12569.618</v>
      </c>
      <c r="O141" s="5">
        <v>3.6999999999999998E-2</v>
      </c>
      <c r="P141" s="5">
        <v>5.0000000000000001E-3</v>
      </c>
      <c r="Q141" s="6">
        <v>1E-3</v>
      </c>
      <c r="R141" s="6">
        <v>0.18</v>
      </c>
      <c r="S141" s="7">
        <v>1779.3</v>
      </c>
      <c r="T141" s="5">
        <v>1838.375</v>
      </c>
      <c r="U141" s="5">
        <v>1.657</v>
      </c>
      <c r="V141" s="5">
        <v>2.3260000000000001</v>
      </c>
      <c r="W141" s="5">
        <v>1.9670000000000001</v>
      </c>
      <c r="X141" s="5">
        <v>4.024</v>
      </c>
      <c r="Y141" s="5">
        <v>9.9760000000000009</v>
      </c>
      <c r="Z141" s="5">
        <v>4837</v>
      </c>
      <c r="AA141" s="5">
        <v>5270</v>
      </c>
      <c r="AB141" s="5">
        <v>5161</v>
      </c>
      <c r="AC141" s="5">
        <v>0.06</v>
      </c>
      <c r="AD141" s="5">
        <v>1</v>
      </c>
      <c r="AE141" s="5">
        <v>0</v>
      </c>
      <c r="AF141" s="5">
        <v>0</v>
      </c>
      <c r="AG141" s="5">
        <v>1</v>
      </c>
      <c r="AH141" s="5">
        <v>2.9</v>
      </c>
      <c r="AI141" s="5">
        <v>2.8738000000000001</v>
      </c>
      <c r="AJ141" s="5">
        <v>2.4000000000000001E-4</v>
      </c>
      <c r="AK141" s="5">
        <v>-6.9999999999999994E-5</v>
      </c>
      <c r="AL141" s="5">
        <v>0</v>
      </c>
      <c r="AM141" s="5">
        <v>0</v>
      </c>
      <c r="AN141" s="5">
        <v>0.26900000000000002</v>
      </c>
      <c r="AO141" s="6">
        <f t="shared" si="37"/>
        <v>0.91783681214421253</v>
      </c>
      <c r="AP141" s="5">
        <f t="shared" si="38"/>
        <v>324</v>
      </c>
      <c r="AQ141" s="8">
        <f t="shared" si="32"/>
        <v>0.99692307692307691</v>
      </c>
      <c r="AR141" s="6">
        <f t="shared" si="39"/>
        <v>0.97931688804554085</v>
      </c>
      <c r="AS141" s="6">
        <f t="shared" si="40"/>
        <v>1.0971892990179477</v>
      </c>
      <c r="AT141" s="6">
        <f t="shared" si="43"/>
        <v>6.4390189999982805E-2</v>
      </c>
      <c r="AU141" s="6">
        <f t="shared" si="42"/>
        <v>0</v>
      </c>
      <c r="AV141" s="5">
        <f t="shared" si="33"/>
        <v>0</v>
      </c>
      <c r="AW141" s="5">
        <f t="shared" si="34"/>
        <v>5</v>
      </c>
      <c r="AX141" s="5">
        <f t="shared" si="35"/>
        <v>0</v>
      </c>
      <c r="AY141" s="5">
        <f t="shared" si="36"/>
        <v>0</v>
      </c>
      <c r="AZ141" s="5">
        <f t="shared" si="41"/>
        <v>0</v>
      </c>
    </row>
    <row r="142" spans="1:52" x14ac:dyDescent="0.3">
      <c r="A142" s="5" t="s">
        <v>52</v>
      </c>
      <c r="B142" s="5" t="s">
        <v>60</v>
      </c>
      <c r="C142" s="5" t="s">
        <v>54</v>
      </c>
      <c r="D142" s="5" t="s">
        <v>61</v>
      </c>
      <c r="E142" s="5" t="s">
        <v>55</v>
      </c>
      <c r="F142" s="5">
        <v>2</v>
      </c>
      <c r="G142" s="5">
        <v>0.04</v>
      </c>
      <c r="H142" s="5" t="b">
        <v>0</v>
      </c>
      <c r="I142" s="5" t="b">
        <v>0</v>
      </c>
      <c r="J142" s="5" t="b">
        <v>0</v>
      </c>
      <c r="K142" s="5">
        <v>2.9529999999999998</v>
      </c>
      <c r="L142" s="5">
        <v>5.1999999999999998E-2</v>
      </c>
      <c r="M142" s="5">
        <v>-5.8000000000000003E-2</v>
      </c>
      <c r="N142" s="5">
        <v>2805.2629999999999</v>
      </c>
      <c r="O142" s="5">
        <v>0.154</v>
      </c>
      <c r="P142" s="5">
        <v>5.0000000000000001E-3</v>
      </c>
      <c r="Q142" s="6">
        <v>1E-3</v>
      </c>
      <c r="R142" s="6">
        <v>0.18</v>
      </c>
      <c r="S142" s="7">
        <v>1792.461</v>
      </c>
      <c r="T142" s="5">
        <v>1838.375</v>
      </c>
      <c r="U142" s="5">
        <v>1.59</v>
      </c>
      <c r="V142" s="5">
        <v>2.3679999999999999</v>
      </c>
      <c r="W142" s="5">
        <v>1.4950000000000001</v>
      </c>
      <c r="X142" s="5">
        <v>3.633</v>
      </c>
      <c r="Y142" s="5">
        <v>9.0879999999999992</v>
      </c>
      <c r="Z142" s="5">
        <v>4875</v>
      </c>
      <c r="AA142" s="5">
        <v>5270</v>
      </c>
      <c r="AB142" s="5">
        <v>5200</v>
      </c>
      <c r="AC142" s="5">
        <v>0.06</v>
      </c>
      <c r="AD142" s="5">
        <v>1</v>
      </c>
      <c r="AE142" s="5">
        <v>0.08</v>
      </c>
      <c r="AF142" s="5">
        <v>-2.7779999999999999E-2</v>
      </c>
      <c r="AG142" s="5">
        <v>1</v>
      </c>
      <c r="AH142" s="5">
        <v>2.88</v>
      </c>
      <c r="AI142" s="5">
        <v>2.8764500000000002</v>
      </c>
      <c r="AJ142" s="5">
        <v>2.0000000000000001E-4</v>
      </c>
      <c r="AK142" s="5">
        <v>1.1E-4</v>
      </c>
      <c r="AL142" s="5">
        <v>0</v>
      </c>
      <c r="AM142" s="5">
        <v>0</v>
      </c>
      <c r="AN142" s="5">
        <v>0.27300000000000002</v>
      </c>
      <c r="AO142" s="6">
        <f t="shared" si="37"/>
        <v>0.92504743833017078</v>
      </c>
      <c r="AP142" s="5">
        <f t="shared" si="38"/>
        <v>325</v>
      </c>
      <c r="AQ142" s="8">
        <f t="shared" si="32"/>
        <v>1</v>
      </c>
      <c r="AR142" s="6">
        <f t="shared" si="39"/>
        <v>0.98671726755218214</v>
      </c>
      <c r="AS142" s="6">
        <f t="shared" si="40"/>
        <v>1.1005756857433118</v>
      </c>
      <c r="AT142" s="6">
        <f t="shared" si="43"/>
        <v>6.3162196978052948E-2</v>
      </c>
      <c r="AU142" s="6">
        <f t="shared" si="42"/>
        <v>7.5982068231896932E-2</v>
      </c>
      <c r="AV142" s="5">
        <f t="shared" si="33"/>
        <v>0</v>
      </c>
      <c r="AW142" s="5">
        <f t="shared" si="34"/>
        <v>0</v>
      </c>
      <c r="AX142" s="5">
        <f t="shared" si="35"/>
        <v>5</v>
      </c>
      <c r="AY142" s="5">
        <f t="shared" si="36"/>
        <v>0</v>
      </c>
      <c r="AZ142" s="5">
        <f t="shared" si="41"/>
        <v>0</v>
      </c>
    </row>
    <row r="143" spans="1:52" x14ac:dyDescent="0.3">
      <c r="A143" s="5" t="s">
        <v>52</v>
      </c>
      <c r="B143" s="5" t="s">
        <v>60</v>
      </c>
      <c r="C143" s="5" t="s">
        <v>54</v>
      </c>
      <c r="D143" s="5" t="s">
        <v>58</v>
      </c>
      <c r="E143" s="5" t="s">
        <v>55</v>
      </c>
      <c r="F143" s="5">
        <v>2</v>
      </c>
      <c r="G143" s="5">
        <v>0.04</v>
      </c>
      <c r="H143" s="5" t="b">
        <v>0</v>
      </c>
      <c r="I143" s="5" t="b">
        <v>0</v>
      </c>
      <c r="J143" s="5" t="b">
        <v>0</v>
      </c>
      <c r="K143" s="5">
        <v>2.9529999999999998</v>
      </c>
      <c r="L143" s="5">
        <v>5.1999999999999998E-2</v>
      </c>
      <c r="M143" s="5">
        <v>-5.8000000000000003E-2</v>
      </c>
      <c r="N143" s="5">
        <v>-1595.835</v>
      </c>
      <c r="O143" s="5">
        <v>-0.248</v>
      </c>
      <c r="P143" s="5">
        <v>5.0000000000000001E-3</v>
      </c>
      <c r="Q143" s="6">
        <v>1E-3</v>
      </c>
      <c r="R143" s="6">
        <v>0.18</v>
      </c>
      <c r="S143" s="7">
        <v>1804.6849999999999</v>
      </c>
      <c r="T143" s="5">
        <v>1838.375</v>
      </c>
      <c r="U143" s="5">
        <v>1.5669999999999999</v>
      </c>
      <c r="V143" s="5">
        <v>2.33</v>
      </c>
      <c r="W143" s="5">
        <v>1.587</v>
      </c>
      <c r="X143" s="5">
        <v>3.7349999999999999</v>
      </c>
      <c r="Y143" s="5">
        <v>9.2200000000000006</v>
      </c>
      <c r="Z143" s="5">
        <v>4910</v>
      </c>
      <c r="AA143" s="5">
        <v>5270</v>
      </c>
      <c r="AB143" s="5">
        <v>5231</v>
      </c>
      <c r="AC143" s="5">
        <v>0.06</v>
      </c>
      <c r="AD143" s="5">
        <v>1</v>
      </c>
      <c r="AE143" s="5">
        <v>0.08</v>
      </c>
      <c r="AF143" s="5">
        <v>-4.4549999999999999E-2</v>
      </c>
      <c r="AG143" s="5">
        <v>1</v>
      </c>
      <c r="AH143" s="5">
        <v>2.86</v>
      </c>
      <c r="AI143" s="5">
        <v>2.8798400000000002</v>
      </c>
      <c r="AJ143" s="5">
        <v>2.7999999999999998E-4</v>
      </c>
      <c r="AK143" s="5">
        <v>5.0000000000000002E-5</v>
      </c>
      <c r="AL143" s="5">
        <v>0</v>
      </c>
      <c r="AM143" s="5">
        <v>0</v>
      </c>
      <c r="AN143" s="5">
        <v>0.26900000000000002</v>
      </c>
      <c r="AO143" s="6">
        <f t="shared" si="37"/>
        <v>0.93168880455407965</v>
      </c>
      <c r="AP143" s="5">
        <f t="shared" si="38"/>
        <v>321</v>
      </c>
      <c r="AQ143" s="8">
        <f t="shared" si="32"/>
        <v>0.98769230769230765</v>
      </c>
      <c r="AR143" s="6">
        <f t="shared" si="39"/>
        <v>0.99259962049335859</v>
      </c>
      <c r="AS143" s="6">
        <f t="shared" si="40"/>
        <v>1.0870301388418557</v>
      </c>
      <c r="AT143" s="6">
        <f t="shared" si="43"/>
        <v>-1.8096856241944202E-2</v>
      </c>
      <c r="AU143" s="6">
        <f t="shared" si="42"/>
        <v>-0.32722513089005417</v>
      </c>
      <c r="AV143" s="5">
        <f t="shared" si="33"/>
        <v>0</v>
      </c>
      <c r="AW143" s="5">
        <f t="shared" si="34"/>
        <v>0</v>
      </c>
      <c r="AX143" s="5">
        <f t="shared" si="35"/>
        <v>5</v>
      </c>
      <c r="AY143" s="5">
        <f t="shared" si="36"/>
        <v>0</v>
      </c>
      <c r="AZ143" s="5">
        <f t="shared" si="41"/>
        <v>0</v>
      </c>
    </row>
    <row r="144" spans="1:52" x14ac:dyDescent="0.3">
      <c r="A144" s="5" t="s">
        <v>52</v>
      </c>
      <c r="B144" s="5" t="s">
        <v>60</v>
      </c>
      <c r="C144" s="5" t="s">
        <v>54</v>
      </c>
      <c r="D144" s="5" t="s">
        <v>58</v>
      </c>
      <c r="E144" s="5" t="s">
        <v>55</v>
      </c>
      <c r="F144" s="5">
        <v>2</v>
      </c>
      <c r="G144" s="5">
        <v>0.04</v>
      </c>
      <c r="H144" s="5" t="b">
        <v>0</v>
      </c>
      <c r="I144" s="5" t="b">
        <v>0</v>
      </c>
      <c r="J144" s="5" t="b">
        <v>0</v>
      </c>
      <c r="K144" s="5">
        <v>2.9529999999999998</v>
      </c>
      <c r="L144" s="5">
        <v>5.1999999999999998E-2</v>
      </c>
      <c r="M144" s="5">
        <v>-5.8000000000000003E-2</v>
      </c>
      <c r="N144" s="5">
        <v>-443.78500000000003</v>
      </c>
      <c r="O144" s="5">
        <v>-0.81100000000000005</v>
      </c>
      <c r="P144" s="5">
        <v>5.0000000000000001E-3</v>
      </c>
      <c r="Q144" s="6">
        <v>1E-3</v>
      </c>
      <c r="R144" s="6">
        <v>0.18</v>
      </c>
      <c r="S144" s="7">
        <v>1819.152</v>
      </c>
      <c r="T144" s="5">
        <v>1838.375</v>
      </c>
      <c r="U144" s="5">
        <v>1.464</v>
      </c>
      <c r="V144" s="5">
        <v>2.1509999999999998</v>
      </c>
      <c r="W144" s="5">
        <v>1.496</v>
      </c>
      <c r="X144" s="5">
        <v>3.3849999999999998</v>
      </c>
      <c r="Y144" s="5">
        <v>8.4969999999999999</v>
      </c>
      <c r="Z144" s="5">
        <v>4952</v>
      </c>
      <c r="AA144" s="5">
        <v>5270</v>
      </c>
      <c r="AB144" s="5">
        <v>5253</v>
      </c>
      <c r="AC144" s="5">
        <v>0.06</v>
      </c>
      <c r="AD144" s="5">
        <v>1</v>
      </c>
      <c r="AE144" s="5">
        <v>0.08</v>
      </c>
      <c r="AF144" s="5">
        <v>-0.14602000000000001</v>
      </c>
      <c r="AG144" s="5">
        <v>0.93398000000000003</v>
      </c>
      <c r="AH144" s="5">
        <v>2.88</v>
      </c>
      <c r="AI144" s="5">
        <v>2.8782299999999998</v>
      </c>
      <c r="AJ144" s="5">
        <v>-1.1E-4</v>
      </c>
      <c r="AK144" s="5">
        <v>-4.0000000000000003E-5</v>
      </c>
      <c r="AL144" s="5">
        <v>0</v>
      </c>
      <c r="AM144" s="5">
        <v>0</v>
      </c>
      <c r="AN144" s="5">
        <v>0.26900000000000002</v>
      </c>
      <c r="AO144" s="6">
        <f t="shared" si="37"/>
        <v>0.93965844402277043</v>
      </c>
      <c r="AP144" s="5">
        <f t="shared" si="38"/>
        <v>301</v>
      </c>
      <c r="AQ144" s="8">
        <f t="shared" si="32"/>
        <v>0.92615384615384611</v>
      </c>
      <c r="AR144" s="6">
        <f t="shared" si="39"/>
        <v>0.99677419354838714</v>
      </c>
      <c r="AS144" s="6">
        <f t="shared" si="40"/>
        <v>1.0193024043345749</v>
      </c>
      <c r="AT144" s="6">
        <f t="shared" si="43"/>
        <v>-0.29458818132661779</v>
      </c>
      <c r="AU144" s="6">
        <f t="shared" si="42"/>
        <v>-1.3824566254233679</v>
      </c>
      <c r="AV144" s="5">
        <f t="shared" si="33"/>
        <v>0</v>
      </c>
      <c r="AW144" s="5">
        <f t="shared" si="34"/>
        <v>0</v>
      </c>
      <c r="AX144" s="5">
        <f t="shared" si="35"/>
        <v>5</v>
      </c>
      <c r="AY144" s="5">
        <f t="shared" si="36"/>
        <v>0</v>
      </c>
      <c r="AZ144" s="5">
        <f t="shared" si="41"/>
        <v>0</v>
      </c>
    </row>
    <row r="145" spans="1:52" x14ac:dyDescent="0.3">
      <c r="A145" s="5" t="s">
        <v>52</v>
      </c>
      <c r="B145" s="5" t="s">
        <v>60</v>
      </c>
      <c r="C145" s="5" t="s">
        <v>54</v>
      </c>
      <c r="D145" s="5" t="s">
        <v>58</v>
      </c>
      <c r="E145" s="5" t="s">
        <v>55</v>
      </c>
      <c r="F145" s="5">
        <v>2</v>
      </c>
      <c r="G145" s="5">
        <v>0.04</v>
      </c>
      <c r="H145" s="5" t="b">
        <v>0</v>
      </c>
      <c r="I145" s="5" t="b">
        <v>0</v>
      </c>
      <c r="J145" s="5" t="b">
        <v>0</v>
      </c>
      <c r="K145" s="5">
        <v>2.9529999999999998</v>
      </c>
      <c r="L145" s="5">
        <v>5.1999999999999998E-2</v>
      </c>
      <c r="M145" s="5">
        <v>-5.8000000000000003E-2</v>
      </c>
      <c r="N145" s="5">
        <v>-205.786</v>
      </c>
      <c r="O145" s="5">
        <v>-1.5449999999999999</v>
      </c>
      <c r="P145" s="5">
        <v>5.0000000000000001E-3</v>
      </c>
      <c r="Q145" s="6">
        <v>1E-3</v>
      </c>
      <c r="R145" s="6">
        <v>0.18</v>
      </c>
      <c r="S145" s="7">
        <v>1831.8589999999999</v>
      </c>
      <c r="T145" s="5">
        <v>1838.375</v>
      </c>
      <c r="U145" s="5">
        <v>1.4930000000000001</v>
      </c>
      <c r="V145" s="5">
        <v>2.3010000000000002</v>
      </c>
      <c r="W145" s="5">
        <v>1.4770000000000001</v>
      </c>
      <c r="X145" s="5">
        <v>3.6579999999999999</v>
      </c>
      <c r="Y145" s="5">
        <v>8.9309999999999992</v>
      </c>
      <c r="Z145" s="5">
        <v>4988</v>
      </c>
      <c r="AA145" s="5">
        <v>5270</v>
      </c>
      <c r="AB145" s="5">
        <v>5267</v>
      </c>
      <c r="AC145" s="5">
        <v>0.06</v>
      </c>
      <c r="AD145" s="5">
        <v>1</v>
      </c>
      <c r="AE145" s="5">
        <v>0.08</v>
      </c>
      <c r="AF145" s="5">
        <v>-0.27815000000000001</v>
      </c>
      <c r="AG145" s="5">
        <v>0.80184999999999995</v>
      </c>
      <c r="AH145" s="5">
        <v>2.88</v>
      </c>
      <c r="AI145" s="5">
        <v>2.88178</v>
      </c>
      <c r="AJ145" s="5">
        <v>2.7999999999999998E-4</v>
      </c>
      <c r="AK145" s="5">
        <v>1.7000000000000001E-4</v>
      </c>
      <c r="AL145" s="5">
        <v>0</v>
      </c>
      <c r="AM145" s="5">
        <v>0</v>
      </c>
      <c r="AN145" s="5">
        <v>0.123</v>
      </c>
      <c r="AO145" s="6">
        <f t="shared" si="37"/>
        <v>0.94648956356736247</v>
      </c>
      <c r="AP145" s="5">
        <f t="shared" si="38"/>
        <v>279</v>
      </c>
      <c r="AQ145" s="8">
        <f t="shared" si="32"/>
        <v>0.8584615384615385</v>
      </c>
      <c r="AR145" s="6">
        <f t="shared" si="39"/>
        <v>0.99943074003795063</v>
      </c>
      <c r="AS145" s="6">
        <f t="shared" si="40"/>
        <v>0.9448018963765662</v>
      </c>
      <c r="AT145" s="6">
        <f t="shared" si="43"/>
        <v>-0.67300577534354533</v>
      </c>
      <c r="AU145" s="6">
        <f t="shared" si="42"/>
        <v>-1.7313291886362012</v>
      </c>
      <c r="AV145" s="5">
        <f t="shared" si="33"/>
        <v>0</v>
      </c>
      <c r="AW145" s="5">
        <f t="shared" si="34"/>
        <v>0</v>
      </c>
      <c r="AX145" s="5">
        <f t="shared" si="35"/>
        <v>5</v>
      </c>
      <c r="AY145" s="5">
        <f t="shared" si="36"/>
        <v>0</v>
      </c>
      <c r="AZ145" s="5">
        <f t="shared" si="41"/>
        <v>0</v>
      </c>
    </row>
    <row r="146" spans="1:52" x14ac:dyDescent="0.3">
      <c r="A146" s="5" t="s">
        <v>52</v>
      </c>
      <c r="B146" s="5" t="s">
        <v>62</v>
      </c>
      <c r="C146" s="5" t="s">
        <v>54</v>
      </c>
      <c r="D146" s="5" t="s">
        <v>58</v>
      </c>
      <c r="E146" s="5" t="s">
        <v>55</v>
      </c>
      <c r="F146" s="5">
        <v>2</v>
      </c>
      <c r="G146" s="5">
        <v>0.04</v>
      </c>
      <c r="H146" s="5" t="b">
        <v>0</v>
      </c>
      <c r="I146" s="5" t="b">
        <v>0</v>
      </c>
      <c r="J146" s="5" t="b">
        <v>0</v>
      </c>
      <c r="K146" s="5">
        <v>2.9529999999999998</v>
      </c>
      <c r="L146" s="5">
        <v>5.1999999999999998E-2</v>
      </c>
      <c r="M146" s="5">
        <v>-5.8000000000000003E-2</v>
      </c>
      <c r="N146" s="5">
        <v>-123.953</v>
      </c>
      <c r="O146" s="5">
        <v>-2.2749999999999999</v>
      </c>
      <c r="P146" s="5">
        <v>5.0000000000000001E-3</v>
      </c>
      <c r="Q146" s="6">
        <v>1E-3</v>
      </c>
      <c r="R146" s="6">
        <v>0.18</v>
      </c>
      <c r="S146" s="7">
        <v>1844.9590000000001</v>
      </c>
      <c r="T146" s="5">
        <v>1838.375</v>
      </c>
      <c r="U146" s="5">
        <v>1.5469999999999999</v>
      </c>
      <c r="V146" s="5">
        <v>2.2749999999999999</v>
      </c>
      <c r="W146" s="5">
        <v>1.3420000000000001</v>
      </c>
      <c r="X146" s="5">
        <v>3.4449999999999998</v>
      </c>
      <c r="Y146" s="5">
        <v>8.6110000000000007</v>
      </c>
      <c r="Z146" s="5">
        <v>5024</v>
      </c>
      <c r="AA146" s="5">
        <v>5270</v>
      </c>
      <c r="AB146" s="5">
        <v>5270</v>
      </c>
      <c r="AC146" s="5">
        <v>0.06</v>
      </c>
      <c r="AD146" s="5">
        <v>1</v>
      </c>
      <c r="AE146" s="5">
        <v>0.08</v>
      </c>
      <c r="AF146" s="5">
        <v>-0.40950999999999999</v>
      </c>
      <c r="AG146" s="5">
        <v>0.67049000000000003</v>
      </c>
      <c r="AH146" s="5">
        <v>2.86</v>
      </c>
      <c r="AI146" s="5">
        <v>2.8480400000000001</v>
      </c>
      <c r="AJ146" s="5">
        <v>-2.5799999999999998E-3</v>
      </c>
      <c r="AK146" s="5">
        <v>-3.8999999999999999E-4</v>
      </c>
      <c r="AL146" s="5">
        <v>0</v>
      </c>
      <c r="AM146" s="5">
        <v>0</v>
      </c>
      <c r="AN146" s="5">
        <v>7.5999999999999998E-2</v>
      </c>
      <c r="AO146" s="6">
        <f t="shared" si="37"/>
        <v>0.9533206831119545</v>
      </c>
      <c r="AP146" s="5">
        <f t="shared" si="38"/>
        <v>246</v>
      </c>
      <c r="AQ146" s="8">
        <f t="shared" si="32"/>
        <v>0.75692307692307692</v>
      </c>
      <c r="AR146" s="6">
        <f t="shared" si="39"/>
        <v>1</v>
      </c>
      <c r="AS146" s="6">
        <f t="shared" si="40"/>
        <v>0.83305113443955292</v>
      </c>
      <c r="AT146" s="6">
        <f t="shared" si="43"/>
        <v>-1.1768225692366698</v>
      </c>
      <c r="AU146" s="6">
        <f t="shared" si="42"/>
        <v>-2.5190839694656226</v>
      </c>
      <c r="AV146" s="5">
        <f t="shared" si="33"/>
        <v>0</v>
      </c>
      <c r="AW146" s="5">
        <f t="shared" si="34"/>
        <v>0</v>
      </c>
      <c r="AX146" s="5">
        <f t="shared" si="35"/>
        <v>0</v>
      </c>
      <c r="AY146" s="5">
        <f t="shared" si="36"/>
        <v>5</v>
      </c>
      <c r="AZ146" s="5">
        <f t="shared" si="41"/>
        <v>0</v>
      </c>
    </row>
    <row r="147" spans="1:52" x14ac:dyDescent="0.3">
      <c r="A147" s="5" t="s">
        <v>52</v>
      </c>
      <c r="B147" s="5" t="s">
        <v>62</v>
      </c>
      <c r="C147" s="5" t="s">
        <v>54</v>
      </c>
      <c r="D147" s="5" t="s">
        <v>58</v>
      </c>
      <c r="E147" s="5" t="s">
        <v>55</v>
      </c>
      <c r="F147" s="5">
        <v>2</v>
      </c>
      <c r="G147" s="5">
        <v>0.04</v>
      </c>
      <c r="H147" s="5" t="b">
        <v>0</v>
      </c>
      <c r="I147" s="5" t="b">
        <v>0</v>
      </c>
      <c r="J147" s="5" t="b">
        <v>0</v>
      </c>
      <c r="K147" s="5">
        <v>2.9529999999999998</v>
      </c>
      <c r="L147" s="5">
        <v>5.1999999999999998E-2</v>
      </c>
      <c r="M147" s="5">
        <v>-5.8000000000000003E-2</v>
      </c>
      <c r="N147" s="5">
        <v>-92.334000000000003</v>
      </c>
      <c r="O147" s="5">
        <v>-2.6640000000000001</v>
      </c>
      <c r="P147" s="5">
        <v>5.0000000000000001E-3</v>
      </c>
      <c r="Q147" s="6">
        <v>1E-3</v>
      </c>
      <c r="R147" s="6">
        <v>0.18</v>
      </c>
      <c r="S147" s="7">
        <v>1857.7860000000001</v>
      </c>
      <c r="T147" s="5">
        <v>1838.375</v>
      </c>
      <c r="U147" s="5">
        <v>1.524</v>
      </c>
      <c r="V147" s="5">
        <v>2.1539999999999999</v>
      </c>
      <c r="W147" s="5">
        <v>1.423</v>
      </c>
      <c r="X147" s="5">
        <v>3.6349999999999998</v>
      </c>
      <c r="Y147" s="5">
        <v>8.7390000000000008</v>
      </c>
      <c r="Z147" s="5">
        <v>5059</v>
      </c>
      <c r="AA147" s="5">
        <v>5270</v>
      </c>
      <c r="AB147" s="5">
        <v>5270</v>
      </c>
      <c r="AC147" s="5">
        <v>0.06</v>
      </c>
      <c r="AD147" s="5">
        <v>1</v>
      </c>
      <c r="AE147" s="5">
        <v>0.08</v>
      </c>
      <c r="AF147" s="5">
        <v>-0.47955999999999999</v>
      </c>
      <c r="AG147" s="5">
        <v>0.60043999999999997</v>
      </c>
      <c r="AH147" s="5">
        <v>2.78</v>
      </c>
      <c r="AI147" s="5">
        <v>2.8167</v>
      </c>
      <c r="AJ147" s="5">
        <v>-2.4399999999999999E-3</v>
      </c>
      <c r="AK147" s="5">
        <v>-9.1E-4</v>
      </c>
      <c r="AL147" s="5">
        <v>0</v>
      </c>
      <c r="AM147" s="5">
        <v>0</v>
      </c>
      <c r="AN147" s="5">
        <v>4.2999999999999997E-2</v>
      </c>
      <c r="AO147" s="6">
        <f t="shared" si="37"/>
        <v>0.95996204933586338</v>
      </c>
      <c r="AP147" s="5">
        <f t="shared" si="38"/>
        <v>211</v>
      </c>
      <c r="AQ147" s="8">
        <f t="shared" si="32"/>
        <v>0.64923076923076928</v>
      </c>
      <c r="AR147" s="6">
        <f t="shared" si="39"/>
        <v>1</v>
      </c>
      <c r="AS147" s="6">
        <f t="shared" si="40"/>
        <v>0.71452759905181173</v>
      </c>
      <c r="AT147" s="6">
        <f t="shared" si="43"/>
        <v>-1.7377428466080045</v>
      </c>
      <c r="AU147" s="6">
        <f t="shared" si="42"/>
        <v>-2.7286193186247765</v>
      </c>
      <c r="AV147" s="5">
        <f t="shared" si="33"/>
        <v>0</v>
      </c>
      <c r="AW147" s="5">
        <f t="shared" si="34"/>
        <v>0</v>
      </c>
      <c r="AX147" s="5">
        <f t="shared" si="35"/>
        <v>0</v>
      </c>
      <c r="AY147" s="5">
        <f t="shared" si="36"/>
        <v>5</v>
      </c>
      <c r="AZ147" s="5">
        <f t="shared" si="41"/>
        <v>0</v>
      </c>
    </row>
    <row r="148" spans="1:52" x14ac:dyDescent="0.3">
      <c r="A148" s="5" t="s">
        <v>52</v>
      </c>
      <c r="B148" s="5" t="s">
        <v>62</v>
      </c>
      <c r="C148" s="5" t="s">
        <v>54</v>
      </c>
      <c r="D148" s="5" t="s">
        <v>58</v>
      </c>
      <c r="E148" s="5" t="s">
        <v>55</v>
      </c>
      <c r="F148" s="5">
        <v>2</v>
      </c>
      <c r="G148" s="5">
        <v>0.04</v>
      </c>
      <c r="H148" s="5" t="b">
        <v>0</v>
      </c>
      <c r="I148" s="5" t="b">
        <v>0</v>
      </c>
      <c r="J148" s="5" t="b">
        <v>0</v>
      </c>
      <c r="K148" s="5">
        <v>2.9529999999999998</v>
      </c>
      <c r="L148" s="5">
        <v>5.1999999999999998E-2</v>
      </c>
      <c r="M148" s="5">
        <v>-5.8000000000000003E-2</v>
      </c>
      <c r="N148" s="5">
        <v>-76.488</v>
      </c>
      <c r="O148" s="5">
        <v>-2.7589999999999999</v>
      </c>
      <c r="P148" s="5">
        <v>5.0000000000000001E-3</v>
      </c>
      <c r="Q148" s="6">
        <v>1E-3</v>
      </c>
      <c r="R148" s="6">
        <v>0.18</v>
      </c>
      <c r="S148" s="7">
        <v>1871.3440000000001</v>
      </c>
      <c r="T148" s="5">
        <v>1838.375</v>
      </c>
      <c r="U148" s="5">
        <v>1.6639999999999999</v>
      </c>
      <c r="V148" s="5">
        <v>2.173</v>
      </c>
      <c r="W148" s="5">
        <v>1.5009999999999999</v>
      </c>
      <c r="X148" s="5">
        <v>3.5990000000000002</v>
      </c>
      <c r="Y148" s="5">
        <v>8.9380000000000006</v>
      </c>
      <c r="Z148" s="5">
        <v>5096</v>
      </c>
      <c r="AA148" s="5">
        <v>5270</v>
      </c>
      <c r="AB148" s="5">
        <v>5270</v>
      </c>
      <c r="AC148" s="5">
        <v>0.06</v>
      </c>
      <c r="AD148" s="5">
        <v>1</v>
      </c>
      <c r="AE148" s="5">
        <v>0.08</v>
      </c>
      <c r="AF148" s="5">
        <v>-0.49654999999999999</v>
      </c>
      <c r="AG148" s="5">
        <v>0.58345000000000002</v>
      </c>
      <c r="AH148" s="5">
        <v>2.78</v>
      </c>
      <c r="AI148" s="5">
        <v>2.7903099999999998</v>
      </c>
      <c r="AJ148" s="5">
        <v>-1.9499999999999999E-3</v>
      </c>
      <c r="AK148" s="5">
        <v>-1.34E-3</v>
      </c>
      <c r="AL148" s="5">
        <v>0</v>
      </c>
      <c r="AM148" s="5">
        <v>0</v>
      </c>
      <c r="AN148" s="5">
        <v>1.4E-2</v>
      </c>
      <c r="AO148" s="6">
        <f t="shared" si="37"/>
        <v>0.96698292220113857</v>
      </c>
      <c r="AP148" s="5">
        <f t="shared" si="38"/>
        <v>174</v>
      </c>
      <c r="AQ148" s="8">
        <f t="shared" si="32"/>
        <v>0.53538461538461535</v>
      </c>
      <c r="AR148" s="6">
        <f t="shared" si="39"/>
        <v>1</v>
      </c>
      <c r="AS148" s="6">
        <f t="shared" si="40"/>
        <v>0.58923129021334231</v>
      </c>
      <c r="AT148" s="6">
        <f t="shared" si="43"/>
        <v>-2.2181010362435356</v>
      </c>
      <c r="AU148" s="6">
        <f t="shared" si="42"/>
        <v>-2.7290160790677107</v>
      </c>
      <c r="AV148" s="5">
        <f t="shared" si="33"/>
        <v>0</v>
      </c>
      <c r="AW148" s="5">
        <f t="shared" si="34"/>
        <v>0</v>
      </c>
      <c r="AX148" s="5">
        <f t="shared" si="35"/>
        <v>0</v>
      </c>
      <c r="AY148" s="5">
        <f t="shared" si="36"/>
        <v>5</v>
      </c>
      <c r="AZ148" s="5">
        <f t="shared" si="41"/>
        <v>0</v>
      </c>
    </row>
    <row r="149" spans="1:52" x14ac:dyDescent="0.3">
      <c r="A149" s="5" t="s">
        <v>52</v>
      </c>
      <c r="B149" s="5" t="s">
        <v>62</v>
      </c>
      <c r="C149" s="5" t="s">
        <v>54</v>
      </c>
      <c r="D149" s="5" t="s">
        <v>58</v>
      </c>
      <c r="E149" s="5" t="s">
        <v>55</v>
      </c>
      <c r="F149" s="5">
        <v>2</v>
      </c>
      <c r="G149" s="5">
        <v>0.04</v>
      </c>
      <c r="H149" s="5" t="b">
        <v>0</v>
      </c>
      <c r="I149" s="5" t="b">
        <v>0</v>
      </c>
      <c r="J149" s="5" t="b">
        <v>0</v>
      </c>
      <c r="K149" s="5">
        <v>2.9529999999999998</v>
      </c>
      <c r="L149" s="5">
        <v>5.1999999999999998E-2</v>
      </c>
      <c r="M149" s="5">
        <v>-5.8000000000000003E-2</v>
      </c>
      <c r="N149" s="5">
        <v>-64.576999999999998</v>
      </c>
      <c r="O149" s="5">
        <v>-2.694</v>
      </c>
      <c r="P149" s="5">
        <v>5.0000000000000001E-3</v>
      </c>
      <c r="Q149" s="6">
        <v>1E-3</v>
      </c>
      <c r="R149" s="6">
        <v>0.18</v>
      </c>
      <c r="S149" s="7">
        <v>1885.373</v>
      </c>
      <c r="T149" s="5">
        <v>1838.375</v>
      </c>
      <c r="U149" s="5">
        <v>1.659</v>
      </c>
      <c r="V149" s="5">
        <v>2.339</v>
      </c>
      <c r="W149" s="5">
        <v>1.8140000000000001</v>
      </c>
      <c r="X149" s="5">
        <v>3.375</v>
      </c>
      <c r="Y149" s="5">
        <v>9.19</v>
      </c>
      <c r="Z149" s="5">
        <v>5132</v>
      </c>
      <c r="AA149" s="5">
        <v>5270</v>
      </c>
      <c r="AB149" s="5">
        <v>5270</v>
      </c>
      <c r="AC149" s="5">
        <v>0.06</v>
      </c>
      <c r="AD149" s="5">
        <v>0.87</v>
      </c>
      <c r="AE149" s="5">
        <v>0.08</v>
      </c>
      <c r="AF149" s="5">
        <v>-0.48499999999999999</v>
      </c>
      <c r="AG149" s="5">
        <v>0.46500000000000002</v>
      </c>
      <c r="AH149" s="5">
        <v>2.72</v>
      </c>
      <c r="AI149" s="5">
        <v>2.7181799999999998</v>
      </c>
      <c r="AJ149" s="5">
        <v>-5.1399999999999996E-3</v>
      </c>
      <c r="AK149" s="5">
        <v>-2.4199999999999998E-3</v>
      </c>
      <c r="AL149" s="5">
        <v>0</v>
      </c>
      <c r="AM149" s="5">
        <v>0</v>
      </c>
      <c r="AN149" s="5">
        <v>1.4E-2</v>
      </c>
      <c r="AO149" s="6">
        <f t="shared" si="37"/>
        <v>0.9738140417457305</v>
      </c>
      <c r="AP149" s="5">
        <f t="shared" si="38"/>
        <v>138</v>
      </c>
      <c r="AQ149" s="8">
        <f t="shared" si="32"/>
        <v>0.42461538461538462</v>
      </c>
      <c r="AR149" s="6">
        <f t="shared" si="39"/>
        <v>1</v>
      </c>
      <c r="AS149" s="6">
        <f t="shared" si="40"/>
        <v>0.46732136810023706</v>
      </c>
      <c r="AT149" s="6">
        <f t="shared" si="43"/>
        <v>-2.4548323214660832</v>
      </c>
      <c r="AU149" s="6">
        <f t="shared" si="42"/>
        <v>-2.5661130515361044</v>
      </c>
      <c r="AV149" s="5">
        <f t="shared" si="33"/>
        <v>0</v>
      </c>
      <c r="AW149" s="5">
        <f t="shared" si="34"/>
        <v>0</v>
      </c>
      <c r="AX149" s="5">
        <f t="shared" si="35"/>
        <v>0</v>
      </c>
      <c r="AY149" s="5">
        <f t="shared" si="36"/>
        <v>5</v>
      </c>
      <c r="AZ149" s="5">
        <f t="shared" si="41"/>
        <v>0</v>
      </c>
    </row>
    <row r="150" spans="1:52" x14ac:dyDescent="0.3">
      <c r="A150" s="5" t="s">
        <v>52</v>
      </c>
      <c r="B150" s="5" t="s">
        <v>62</v>
      </c>
      <c r="C150" s="5" t="s">
        <v>54</v>
      </c>
      <c r="D150" s="5" t="s">
        <v>58</v>
      </c>
      <c r="E150" s="5" t="s">
        <v>55</v>
      </c>
      <c r="F150" s="5">
        <v>2</v>
      </c>
      <c r="G150" s="5">
        <v>0.04</v>
      </c>
      <c r="H150" s="5" t="b">
        <v>0</v>
      </c>
      <c r="I150" s="5" t="b">
        <v>0</v>
      </c>
      <c r="J150" s="5" t="b">
        <v>0</v>
      </c>
      <c r="K150" s="5">
        <v>2.9529999999999998</v>
      </c>
      <c r="L150" s="5">
        <v>5.1999999999999998E-2</v>
      </c>
      <c r="M150" s="5">
        <v>-5.8000000000000003E-2</v>
      </c>
      <c r="N150" s="5">
        <v>-52.972999999999999</v>
      </c>
      <c r="O150" s="5">
        <v>-2.605</v>
      </c>
      <c r="P150" s="5">
        <v>5.0000000000000001E-3</v>
      </c>
      <c r="Q150" s="6">
        <v>1E-3</v>
      </c>
      <c r="R150" s="6">
        <v>0.18</v>
      </c>
      <c r="S150" s="7">
        <v>1899.32</v>
      </c>
      <c r="T150" s="5">
        <v>1838.375</v>
      </c>
      <c r="U150" s="5">
        <v>1.498</v>
      </c>
      <c r="V150" s="5">
        <v>2.1800000000000002</v>
      </c>
      <c r="W150" s="5">
        <v>1.5960000000000001</v>
      </c>
      <c r="X150" s="5">
        <v>3.4009999999999998</v>
      </c>
      <c r="Y150" s="5">
        <v>8.6769999999999996</v>
      </c>
      <c r="Z150" s="5">
        <v>5168</v>
      </c>
      <c r="AA150" s="5">
        <v>5270</v>
      </c>
      <c r="AB150" s="5">
        <v>5270</v>
      </c>
      <c r="AC150" s="5">
        <v>0.06</v>
      </c>
      <c r="AD150" s="5">
        <v>0.69</v>
      </c>
      <c r="AE150" s="5">
        <v>0.08</v>
      </c>
      <c r="AF150" s="5">
        <v>-0.46890999999999999</v>
      </c>
      <c r="AG150" s="5">
        <v>0.30109000000000002</v>
      </c>
      <c r="AH150" s="5">
        <v>2.62</v>
      </c>
      <c r="AI150" s="5">
        <v>2.6682100000000002</v>
      </c>
      <c r="AJ150" s="5">
        <v>-3.5799999999999998E-3</v>
      </c>
      <c r="AK150" s="5">
        <v>-3.1700000000000001E-3</v>
      </c>
      <c r="AL150" s="5">
        <v>0</v>
      </c>
      <c r="AM150" s="5">
        <v>0</v>
      </c>
      <c r="AN150" s="5">
        <v>7.0000000000000001E-3</v>
      </c>
      <c r="AO150" s="6">
        <f t="shared" si="37"/>
        <v>0.98064516129032253</v>
      </c>
      <c r="AP150" s="5">
        <f t="shared" si="38"/>
        <v>102</v>
      </c>
      <c r="AQ150" s="8">
        <f t="shared" si="32"/>
        <v>0.31384615384615383</v>
      </c>
      <c r="AR150" s="6">
        <f t="shared" si="39"/>
        <v>1</v>
      </c>
      <c r="AS150" s="6">
        <f t="shared" si="40"/>
        <v>0.34541144598713169</v>
      </c>
      <c r="AT150" s="6">
        <f t="shared" si="43"/>
        <v>-2.6248065353628518</v>
      </c>
      <c r="AU150" s="6">
        <f t="shared" si="42"/>
        <v>-2.5812002581200462</v>
      </c>
      <c r="AV150" s="5">
        <f t="shared" si="33"/>
        <v>0</v>
      </c>
      <c r="AW150" s="5">
        <f t="shared" si="34"/>
        <v>0</v>
      </c>
      <c r="AX150" s="5">
        <f t="shared" si="35"/>
        <v>0</v>
      </c>
      <c r="AY150" s="5">
        <f t="shared" si="36"/>
        <v>5</v>
      </c>
      <c r="AZ150" s="5">
        <f t="shared" si="41"/>
        <v>0</v>
      </c>
    </row>
    <row r="151" spans="1:52" x14ac:dyDescent="0.3">
      <c r="A151" s="5" t="s">
        <v>52</v>
      </c>
      <c r="B151" s="5" t="s">
        <v>62</v>
      </c>
      <c r="C151" s="5" t="s">
        <v>54</v>
      </c>
      <c r="D151" s="5" t="s">
        <v>58</v>
      </c>
      <c r="E151" s="5" t="s">
        <v>55</v>
      </c>
      <c r="F151" s="5">
        <v>2</v>
      </c>
      <c r="G151" s="5">
        <v>0.04</v>
      </c>
      <c r="H151" s="5" t="b">
        <v>0</v>
      </c>
      <c r="I151" s="5" t="b">
        <v>0</v>
      </c>
      <c r="J151" s="5" t="b">
        <v>0</v>
      </c>
      <c r="K151" s="5">
        <v>2.9529999999999998</v>
      </c>
      <c r="L151" s="5">
        <v>5.1999999999999998E-2</v>
      </c>
      <c r="M151" s="5">
        <v>-5.8000000000000003E-2</v>
      </c>
      <c r="N151" s="5">
        <v>-39.222999999999999</v>
      </c>
      <c r="O151" s="5">
        <v>-2.6</v>
      </c>
      <c r="P151" s="5">
        <v>5.0000000000000001E-3</v>
      </c>
      <c r="Q151" s="6">
        <v>1E-3</v>
      </c>
      <c r="R151" s="6">
        <v>0.18</v>
      </c>
      <c r="S151" s="7">
        <v>1913.4090000000001</v>
      </c>
      <c r="T151" s="5">
        <v>1838.375</v>
      </c>
      <c r="U151" s="5">
        <v>1.5349999999999999</v>
      </c>
      <c r="V151" s="5">
        <v>2.2029999999999998</v>
      </c>
      <c r="W151" s="5">
        <v>1.522</v>
      </c>
      <c r="X151" s="5">
        <v>3.536</v>
      </c>
      <c r="Y151" s="5">
        <v>8.7989999999999995</v>
      </c>
      <c r="Z151" s="5">
        <v>5203</v>
      </c>
      <c r="AA151" s="5">
        <v>5270</v>
      </c>
      <c r="AB151" s="5">
        <v>5270</v>
      </c>
      <c r="AC151" s="5">
        <v>0.06</v>
      </c>
      <c r="AD151" s="5">
        <v>0.51</v>
      </c>
      <c r="AE151" s="5">
        <v>0.08</v>
      </c>
      <c r="AF151" s="5">
        <v>-0.46809000000000001</v>
      </c>
      <c r="AG151" s="5">
        <v>0.12191</v>
      </c>
      <c r="AH151" s="5">
        <v>2.62</v>
      </c>
      <c r="AI151" s="5">
        <v>2.6150600000000002</v>
      </c>
      <c r="AJ151" s="5">
        <v>-3.7699999999999999E-3</v>
      </c>
      <c r="AK151" s="5">
        <v>-3.3999999999999998E-3</v>
      </c>
      <c r="AL151" s="5">
        <v>0</v>
      </c>
      <c r="AM151" s="5">
        <v>0</v>
      </c>
      <c r="AN151" s="5">
        <v>3.0000000000000001E-3</v>
      </c>
      <c r="AO151" s="6">
        <f t="shared" si="37"/>
        <v>0.98728652751423152</v>
      </c>
      <c r="AP151" s="5">
        <f t="shared" si="38"/>
        <v>67</v>
      </c>
      <c r="AQ151" s="8">
        <f t="shared" si="32"/>
        <v>0.20615384615384616</v>
      </c>
      <c r="AR151" s="6">
        <f t="shared" si="39"/>
        <v>1</v>
      </c>
      <c r="AS151" s="6">
        <f t="shared" si="40"/>
        <v>0.22688791059939045</v>
      </c>
      <c r="AT151" s="6">
        <f t="shared" si="43"/>
        <v>-2.6178312490288098</v>
      </c>
      <c r="AU151" s="6">
        <f t="shared" si="42"/>
        <v>-2.4842075377954136</v>
      </c>
      <c r="AV151" s="5">
        <f t="shared" si="33"/>
        <v>0</v>
      </c>
      <c r="AW151" s="5">
        <f t="shared" si="34"/>
        <v>0</v>
      </c>
      <c r="AX151" s="5">
        <f t="shared" si="35"/>
        <v>0</v>
      </c>
      <c r="AY151" s="5">
        <f t="shared" si="36"/>
        <v>5</v>
      </c>
      <c r="AZ151" s="5">
        <f t="shared" si="41"/>
        <v>0</v>
      </c>
    </row>
    <row r="152" spans="1:52" x14ac:dyDescent="0.3">
      <c r="A152" s="5" t="s">
        <v>52</v>
      </c>
      <c r="B152" s="5" t="s">
        <v>62</v>
      </c>
      <c r="C152" s="5" t="s">
        <v>54</v>
      </c>
      <c r="D152" s="5" t="s">
        <v>58</v>
      </c>
      <c r="E152" s="5" t="s">
        <v>55</v>
      </c>
      <c r="F152" s="5">
        <v>2</v>
      </c>
      <c r="G152" s="5">
        <v>0.04</v>
      </c>
      <c r="H152" s="5" t="b">
        <v>0</v>
      </c>
      <c r="I152" s="5" t="b">
        <v>0</v>
      </c>
      <c r="J152" s="5" t="b">
        <v>0</v>
      </c>
      <c r="K152" s="5">
        <v>2.9529999999999998</v>
      </c>
      <c r="L152" s="5">
        <v>5.1999999999999998E-2</v>
      </c>
      <c r="M152" s="5">
        <v>-5.8000000000000003E-2</v>
      </c>
      <c r="N152" s="5">
        <v>-26.061</v>
      </c>
      <c r="O152" s="5">
        <v>-2.5710000000000002</v>
      </c>
      <c r="P152" s="5">
        <v>5.0000000000000001E-3</v>
      </c>
      <c r="Q152" s="6">
        <v>1E-3</v>
      </c>
      <c r="R152" s="6">
        <v>0.18</v>
      </c>
      <c r="S152" s="7">
        <v>1927.07</v>
      </c>
      <c r="T152" s="5">
        <v>1838.375</v>
      </c>
      <c r="U152" s="5">
        <v>1.613</v>
      </c>
      <c r="V152" s="5">
        <v>2.1859999999999999</v>
      </c>
      <c r="W152" s="5">
        <v>1.4670000000000001</v>
      </c>
      <c r="X152" s="5">
        <v>3.452</v>
      </c>
      <c r="Y152" s="5">
        <v>8.7189999999999994</v>
      </c>
      <c r="Z152" s="5">
        <v>5236</v>
      </c>
      <c r="AA152" s="5">
        <v>5270</v>
      </c>
      <c r="AB152" s="5">
        <v>5270</v>
      </c>
      <c r="AC152" s="5">
        <v>0.06</v>
      </c>
      <c r="AD152" s="5">
        <v>0.33500000000000002</v>
      </c>
      <c r="AE152" s="5">
        <v>0.08</v>
      </c>
      <c r="AF152" s="5">
        <v>-0.46276</v>
      </c>
      <c r="AG152" s="5">
        <v>-4.7759999999999997E-2</v>
      </c>
      <c r="AH152" s="5">
        <v>2.5</v>
      </c>
      <c r="AI152" s="5">
        <v>2.5546799999999998</v>
      </c>
      <c r="AJ152" s="5">
        <v>-4.4200000000000003E-3</v>
      </c>
      <c r="AK152" s="5">
        <v>-3.7799999999999999E-3</v>
      </c>
      <c r="AL152" s="5">
        <v>0</v>
      </c>
      <c r="AM152" s="5">
        <v>0</v>
      </c>
      <c r="AN152" s="5">
        <v>3.0000000000000001E-3</v>
      </c>
      <c r="AO152" s="6">
        <f t="shared" si="37"/>
        <v>0.99354838709677418</v>
      </c>
      <c r="AP152" s="5">
        <f t="shared" si="38"/>
        <v>34</v>
      </c>
      <c r="AQ152" s="8">
        <f t="shared" si="32"/>
        <v>0.10461538461538461</v>
      </c>
      <c r="AR152" s="6">
        <f t="shared" si="39"/>
        <v>1</v>
      </c>
      <c r="AS152" s="6">
        <f t="shared" si="40"/>
        <v>0.11513714866237724</v>
      </c>
      <c r="AT152" s="6">
        <f t="shared" si="43"/>
        <v>-2.5552345355856851</v>
      </c>
      <c r="AU152" s="6">
        <f t="shared" si="42"/>
        <v>-2.4156357514091509</v>
      </c>
      <c r="AV152" s="5">
        <f t="shared" si="33"/>
        <v>0</v>
      </c>
      <c r="AW152" s="5">
        <f t="shared" si="34"/>
        <v>0</v>
      </c>
      <c r="AX152" s="5">
        <f t="shared" si="35"/>
        <v>0</v>
      </c>
      <c r="AY152" s="5">
        <f t="shared" si="36"/>
        <v>5</v>
      </c>
      <c r="AZ152" s="5">
        <f t="shared" si="41"/>
        <v>0</v>
      </c>
    </row>
    <row r="153" spans="1:52" x14ac:dyDescent="0.3">
      <c r="A153" s="5" t="s">
        <v>52</v>
      </c>
      <c r="B153" s="5" t="s">
        <v>62</v>
      </c>
      <c r="C153" s="5" t="s">
        <v>54</v>
      </c>
      <c r="D153" s="5" t="s">
        <v>58</v>
      </c>
      <c r="E153" s="5" t="s">
        <v>55</v>
      </c>
      <c r="F153" s="5">
        <v>2</v>
      </c>
      <c r="G153" s="5">
        <v>0.04</v>
      </c>
      <c r="H153" s="5" t="b">
        <v>0</v>
      </c>
      <c r="I153" s="5" t="b">
        <v>0</v>
      </c>
      <c r="J153" s="5" t="b">
        <v>0</v>
      </c>
      <c r="K153" s="5">
        <v>2.9529999999999998</v>
      </c>
      <c r="L153" s="5">
        <v>5.1999999999999998E-2</v>
      </c>
      <c r="M153" s="5">
        <v>-5.8000000000000003E-2</v>
      </c>
      <c r="N153" s="5">
        <v>-13.898</v>
      </c>
      <c r="O153" s="5">
        <v>-2.4460000000000002</v>
      </c>
      <c r="P153" s="5">
        <v>5.0000000000000001E-3</v>
      </c>
      <c r="Q153" s="6">
        <v>1E-3</v>
      </c>
      <c r="R153" s="6">
        <v>0.18</v>
      </c>
      <c r="S153" s="7">
        <v>1941.4559999999999</v>
      </c>
      <c r="T153" s="5">
        <v>1838.375</v>
      </c>
      <c r="U153" s="5">
        <v>2.08</v>
      </c>
      <c r="V153" s="5">
        <v>2.39</v>
      </c>
      <c r="W153" s="5">
        <v>1.502</v>
      </c>
      <c r="X153" s="5">
        <v>3.7770000000000001</v>
      </c>
      <c r="Y153" s="5">
        <v>9.7509999999999994</v>
      </c>
      <c r="Z153" s="5">
        <v>5257</v>
      </c>
      <c r="AA153" s="5">
        <v>5270</v>
      </c>
      <c r="AB153" s="5">
        <v>5270</v>
      </c>
      <c r="AC153" s="5">
        <v>0.06</v>
      </c>
      <c r="AD153" s="5">
        <v>0.17</v>
      </c>
      <c r="AE153" s="5">
        <v>0.08</v>
      </c>
      <c r="AF153" s="5">
        <v>-0.44035999999999997</v>
      </c>
      <c r="AG153" s="5">
        <v>-0.19036</v>
      </c>
      <c r="AH153" s="5">
        <v>2.2799999999999998</v>
      </c>
      <c r="AI153" s="5">
        <v>2.2963399999999998</v>
      </c>
      <c r="AJ153" s="5">
        <v>-1.796E-2</v>
      </c>
      <c r="AK153" s="5">
        <v>-7.0499999999999998E-3</v>
      </c>
      <c r="AL153" s="5">
        <v>0</v>
      </c>
      <c r="AM153" s="5">
        <v>0</v>
      </c>
      <c r="AN153" s="5">
        <v>3.4369999999999998</v>
      </c>
      <c r="AO153" s="6">
        <f t="shared" si="37"/>
        <v>0.99753320683111957</v>
      </c>
      <c r="AP153" s="5">
        <f t="shared" si="38"/>
        <v>13</v>
      </c>
      <c r="AQ153" s="8">
        <f t="shared" si="32"/>
        <v>0.04</v>
      </c>
      <c r="AR153" s="6">
        <f t="shared" si="39"/>
        <v>1</v>
      </c>
      <c r="AS153" s="6">
        <f t="shared" si="40"/>
        <v>4.4023027429732471E-2</v>
      </c>
      <c r="AT153" s="6">
        <f t="shared" si="43"/>
        <v>-2.30138182720993</v>
      </c>
      <c r="AU153" s="6">
        <f t="shared" si="42"/>
        <v>-1.459752537188937</v>
      </c>
      <c r="AV153" s="5">
        <f t="shared" si="33"/>
        <v>0</v>
      </c>
      <c r="AW153" s="5">
        <f t="shared" si="34"/>
        <v>0</v>
      </c>
      <c r="AX153" s="5">
        <f t="shared" si="35"/>
        <v>0</v>
      </c>
      <c r="AY153" s="5">
        <f t="shared" si="36"/>
        <v>5</v>
      </c>
      <c r="AZ153" s="5">
        <f t="shared" si="41"/>
        <v>0</v>
      </c>
    </row>
    <row r="154" spans="1:52" x14ac:dyDescent="0.3">
      <c r="A154" s="5" t="s">
        <v>52</v>
      </c>
      <c r="B154" s="5" t="s">
        <v>62</v>
      </c>
      <c r="C154" s="5" t="s">
        <v>54</v>
      </c>
      <c r="D154" s="5" t="s">
        <v>58</v>
      </c>
      <c r="E154" s="5" t="s">
        <v>55</v>
      </c>
      <c r="F154" s="5">
        <v>2</v>
      </c>
      <c r="G154" s="5">
        <v>0.04</v>
      </c>
      <c r="H154" s="5" t="b">
        <v>0</v>
      </c>
      <c r="I154" s="5" t="b">
        <v>0</v>
      </c>
      <c r="J154" s="5" t="b">
        <v>0</v>
      </c>
      <c r="K154" s="5">
        <v>2.9529999999999998</v>
      </c>
      <c r="L154" s="5">
        <v>5.1999999999999998E-2</v>
      </c>
      <c r="M154" s="5">
        <v>-5.8000000000000003E-2</v>
      </c>
      <c r="N154" s="5">
        <v>-6.8559999999999999</v>
      </c>
      <c r="O154" s="5">
        <v>-1.8959999999999999</v>
      </c>
      <c r="P154" s="5">
        <v>5.0000000000000001E-3</v>
      </c>
      <c r="Q154" s="6">
        <v>1E-3</v>
      </c>
      <c r="R154" s="6">
        <v>0.18</v>
      </c>
      <c r="S154" s="7">
        <v>1956.001</v>
      </c>
      <c r="T154" s="5">
        <v>1838.375</v>
      </c>
      <c r="U154" s="5">
        <v>1.611</v>
      </c>
      <c r="V154" s="5">
        <v>2.2930000000000001</v>
      </c>
      <c r="W154" s="5">
        <v>1.5880000000000001</v>
      </c>
      <c r="X154" s="5">
        <v>3.9180000000000001</v>
      </c>
      <c r="Y154" s="5">
        <v>9.4120000000000008</v>
      </c>
      <c r="Z154" s="5">
        <v>5261</v>
      </c>
      <c r="AA154" s="5">
        <v>5270</v>
      </c>
      <c r="AB154" s="5">
        <v>5270</v>
      </c>
      <c r="AC154" s="5">
        <v>0.06</v>
      </c>
      <c r="AD154" s="5">
        <v>6.5000000000000002E-2</v>
      </c>
      <c r="AE154" s="5">
        <v>0.08</v>
      </c>
      <c r="AF154" s="5">
        <v>-0.34131</v>
      </c>
      <c r="AG154" s="5">
        <v>-0.19631000000000001</v>
      </c>
      <c r="AH154" s="5">
        <v>1.92</v>
      </c>
      <c r="AI154" s="5">
        <v>1.8264499999999999</v>
      </c>
      <c r="AJ154" s="5">
        <v>-3.2300000000000002E-2</v>
      </c>
      <c r="AK154" s="5">
        <v>-1.2630000000000001E-2</v>
      </c>
      <c r="AL154" s="5">
        <v>0</v>
      </c>
      <c r="AM154" s="5">
        <v>0</v>
      </c>
      <c r="AN154" s="5">
        <v>3.2469999999999999</v>
      </c>
      <c r="AO154" s="6">
        <f t="shared" si="37"/>
        <v>0.99829222011385199</v>
      </c>
      <c r="AP154" s="5">
        <f t="shared" si="38"/>
        <v>9</v>
      </c>
      <c r="AQ154" s="8">
        <f t="shared" si="32"/>
        <v>2.7692307692307693E-2</v>
      </c>
      <c r="AR154" s="6">
        <f t="shared" si="39"/>
        <v>1</v>
      </c>
      <c r="AS154" s="6">
        <f t="shared" si="40"/>
        <v>3.0477480528276327E-2</v>
      </c>
      <c r="AT154" s="6">
        <f t="shared" si="43"/>
        <v>-1.8431609357064223</v>
      </c>
      <c r="AU154" s="6">
        <f t="shared" si="42"/>
        <v>-0.2750085940185617</v>
      </c>
      <c r="AV154" s="5">
        <f t="shared" si="33"/>
        <v>0</v>
      </c>
      <c r="AW154" s="5">
        <f t="shared" si="34"/>
        <v>0</v>
      </c>
      <c r="AX154" s="5">
        <f t="shared" si="35"/>
        <v>0</v>
      </c>
      <c r="AY154" s="5">
        <f t="shared" si="36"/>
        <v>5</v>
      </c>
      <c r="AZ154" s="5">
        <f t="shared" si="41"/>
        <v>0</v>
      </c>
    </row>
    <row r="155" spans="1:52" x14ac:dyDescent="0.3">
      <c r="A155" s="5" t="s">
        <v>52</v>
      </c>
      <c r="B155" s="5" t="s">
        <v>62</v>
      </c>
      <c r="C155" s="5" t="s">
        <v>54</v>
      </c>
      <c r="D155" s="5" t="s">
        <v>58</v>
      </c>
      <c r="E155" s="5" t="s">
        <v>55</v>
      </c>
      <c r="F155" s="5">
        <v>2</v>
      </c>
      <c r="G155" s="5">
        <v>0.04</v>
      </c>
      <c r="H155" s="5" t="b">
        <v>0</v>
      </c>
      <c r="I155" s="5" t="b">
        <v>0</v>
      </c>
      <c r="J155" s="5" t="b">
        <v>0</v>
      </c>
      <c r="K155" s="5">
        <v>2.9529999999999998</v>
      </c>
      <c r="L155" s="5">
        <v>5.1999999999999998E-2</v>
      </c>
      <c r="M155" s="5">
        <v>-5.8000000000000003E-2</v>
      </c>
      <c r="N155" s="5">
        <v>-10.954000000000001</v>
      </c>
      <c r="O155" s="5">
        <v>-0.82199999999999995</v>
      </c>
      <c r="P155" s="5">
        <v>5.0000000000000001E-3</v>
      </c>
      <c r="Q155" s="6">
        <v>1E-3</v>
      </c>
      <c r="R155" s="6">
        <v>0.18</v>
      </c>
      <c r="S155" s="7">
        <v>1970.31</v>
      </c>
      <c r="T155" s="5">
        <v>1838.375</v>
      </c>
      <c r="U155" s="5">
        <v>1.659</v>
      </c>
      <c r="V155" s="5">
        <v>2.2080000000000002</v>
      </c>
      <c r="W155" s="5">
        <v>1.603</v>
      </c>
      <c r="X155" s="5">
        <v>3.339</v>
      </c>
      <c r="Y155" s="5">
        <v>8.8119999999999994</v>
      </c>
      <c r="Z155" s="5">
        <v>5257</v>
      </c>
      <c r="AA155" s="5">
        <v>5270</v>
      </c>
      <c r="AB155" s="5">
        <v>5270</v>
      </c>
      <c r="AC155" s="5">
        <v>0.06</v>
      </c>
      <c r="AD155" s="5">
        <v>4.4999999999999998E-2</v>
      </c>
      <c r="AE155" s="5">
        <v>7.9000000000000001E-2</v>
      </c>
      <c r="AF155" s="5">
        <v>-0.14788999999999999</v>
      </c>
      <c r="AG155" s="5">
        <v>-2.3890000000000002E-2</v>
      </c>
      <c r="AH155" s="5">
        <v>0.86</v>
      </c>
      <c r="AI155" s="5">
        <v>1.2537</v>
      </c>
      <c r="AJ155" s="5">
        <v>-4.0030000000000003E-2</v>
      </c>
      <c r="AK155" s="5">
        <v>-1.993E-2</v>
      </c>
      <c r="AL155" s="5">
        <v>0</v>
      </c>
      <c r="AM155" s="5">
        <v>0</v>
      </c>
      <c r="AN155" s="5">
        <v>1.603</v>
      </c>
      <c r="AO155" s="6">
        <f t="shared" si="37"/>
        <v>0.99753320683111957</v>
      </c>
      <c r="AP155" s="5">
        <f t="shared" si="38"/>
        <v>13</v>
      </c>
      <c r="AQ155" s="8">
        <f t="shared" si="32"/>
        <v>0.04</v>
      </c>
      <c r="AR155" s="6">
        <f t="shared" si="39"/>
        <v>1</v>
      </c>
      <c r="AS155" s="6">
        <f t="shared" si="40"/>
        <v>4.4023027429732471E-2</v>
      </c>
      <c r="AT155" s="6">
        <f t="shared" si="43"/>
        <v>-1.2710120155381399</v>
      </c>
      <c r="AU155" s="6">
        <f t="shared" si="42"/>
        <v>0.2795443427213648</v>
      </c>
      <c r="AV155" s="5">
        <f t="shared" si="33"/>
        <v>0</v>
      </c>
      <c r="AW155" s="5">
        <f t="shared" si="34"/>
        <v>0</v>
      </c>
      <c r="AX155" s="5">
        <f t="shared" si="35"/>
        <v>0</v>
      </c>
      <c r="AY155" s="5">
        <f t="shared" si="36"/>
        <v>5</v>
      </c>
      <c r="AZ155" s="5">
        <f t="shared" si="41"/>
        <v>0</v>
      </c>
    </row>
    <row r="156" spans="1:52" x14ac:dyDescent="0.3">
      <c r="A156" s="5" t="s">
        <v>52</v>
      </c>
      <c r="B156" s="5" t="s">
        <v>62</v>
      </c>
      <c r="C156" s="5" t="s">
        <v>54</v>
      </c>
      <c r="D156" s="5" t="s">
        <v>61</v>
      </c>
      <c r="E156" s="5" t="s">
        <v>55</v>
      </c>
      <c r="F156" s="5">
        <v>2</v>
      </c>
      <c r="G156" s="5">
        <v>0.04</v>
      </c>
      <c r="H156" s="5" t="b">
        <v>0</v>
      </c>
      <c r="I156" s="5" t="b">
        <v>0</v>
      </c>
      <c r="J156" s="5" t="b">
        <v>0</v>
      </c>
      <c r="K156" s="5">
        <v>2.9529999999999998</v>
      </c>
      <c r="L156" s="5">
        <v>5.1999999999999998E-2</v>
      </c>
      <c r="M156" s="5">
        <v>-5.8000000000000003E-2</v>
      </c>
      <c r="N156" s="5">
        <v>2489.2269999999999</v>
      </c>
      <c r="O156" s="5">
        <v>5.0000000000000001E-3</v>
      </c>
      <c r="P156" s="5">
        <v>5.0000000000000001E-3</v>
      </c>
      <c r="Q156" s="6">
        <v>1E-3</v>
      </c>
      <c r="R156" s="6">
        <v>0.18</v>
      </c>
      <c r="S156" s="7">
        <v>1985.883</v>
      </c>
      <c r="T156" s="5">
        <v>1838.375</v>
      </c>
      <c r="U156" s="5">
        <v>1.389</v>
      </c>
      <c r="V156" s="5">
        <v>2.1019999999999999</v>
      </c>
      <c r="W156" s="5">
        <v>1.964</v>
      </c>
      <c r="X156" s="5">
        <v>3.387</v>
      </c>
      <c r="Y156" s="5">
        <v>8.8439999999999994</v>
      </c>
      <c r="Z156" s="5">
        <v>5253</v>
      </c>
      <c r="AA156" s="5">
        <v>5270</v>
      </c>
      <c r="AB156" s="5">
        <v>5270</v>
      </c>
      <c r="AC156" s="5">
        <v>0.06</v>
      </c>
      <c r="AD156" s="5">
        <v>6.5000000000000002E-2</v>
      </c>
      <c r="AE156" s="5">
        <v>7.9000000000000001E-2</v>
      </c>
      <c r="AF156" s="5">
        <v>-9.3999999999999997E-4</v>
      </c>
      <c r="AG156" s="5">
        <v>0.14305999999999999</v>
      </c>
      <c r="AH156" s="5">
        <v>0.32</v>
      </c>
      <c r="AI156" s="5">
        <v>0.68989999999999996</v>
      </c>
      <c r="AJ156" s="5">
        <v>-3.6200000000000003E-2</v>
      </c>
      <c r="AK156" s="5">
        <v>-2.656E-2</v>
      </c>
      <c r="AL156" s="5">
        <v>0</v>
      </c>
      <c r="AM156" s="5">
        <v>0</v>
      </c>
      <c r="AN156" s="5">
        <v>0.94399999999999995</v>
      </c>
      <c r="AO156" s="6">
        <f t="shared" si="37"/>
        <v>0.99677419354838714</v>
      </c>
      <c r="AP156" s="5">
        <f t="shared" si="38"/>
        <v>17</v>
      </c>
      <c r="AQ156" s="8">
        <f t="shared" ref="AQ156:AQ186" si="44">AP156/MAX(AP:AP)</f>
        <v>5.2307692307692305E-2</v>
      </c>
      <c r="AR156" s="6">
        <f t="shared" si="39"/>
        <v>1</v>
      </c>
      <c r="AS156" s="6">
        <f t="shared" si="40"/>
        <v>5.7568574331188622E-2</v>
      </c>
      <c r="AT156" s="6">
        <f t="shared" ref="AT156:AT186" si="45">AVERAGE(AU152:AU156)</f>
        <v>-0.72279954541564628</v>
      </c>
      <c r="AU156" s="6">
        <f t="shared" si="42"/>
        <v>0.25685481281705363</v>
      </c>
      <c r="AV156" s="5">
        <f t="shared" ref="AV156:AV186" si="46">IF(B156="ACCELERATION",5,0)</f>
        <v>0</v>
      </c>
      <c r="AW156" s="5">
        <f t="shared" ref="AW156:AW186" si="47">IF(B156="CRUISING",5,0)</f>
        <v>0</v>
      </c>
      <c r="AX156" s="5">
        <f t="shared" ref="AX156:AX186" si="48">IF(B156="DECELERATION",5,0)</f>
        <v>0</v>
      </c>
      <c r="AY156" s="5">
        <f t="shared" ref="AY156:AY186" si="49">IF(B156="END",5,0)</f>
        <v>5</v>
      </c>
      <c r="AZ156" s="5">
        <f t="shared" si="41"/>
        <v>0</v>
      </c>
    </row>
    <row r="157" spans="1:52" x14ac:dyDescent="0.3">
      <c r="A157" s="5" t="s">
        <v>52</v>
      </c>
      <c r="B157" s="5" t="s">
        <v>62</v>
      </c>
      <c r="C157" s="5" t="s">
        <v>54</v>
      </c>
      <c r="D157" s="5" t="s">
        <v>61</v>
      </c>
      <c r="E157" s="5" t="s">
        <v>55</v>
      </c>
      <c r="F157" s="5">
        <v>2</v>
      </c>
      <c r="G157" s="5">
        <v>0.04</v>
      </c>
      <c r="H157" s="5" t="b">
        <v>0</v>
      </c>
      <c r="I157" s="5" t="b">
        <v>0</v>
      </c>
      <c r="J157" s="5" t="b">
        <v>0</v>
      </c>
      <c r="K157" s="5">
        <v>2.9529999999999998</v>
      </c>
      <c r="L157" s="5">
        <v>5.1999999999999998E-2</v>
      </c>
      <c r="M157" s="5">
        <v>-5.8000000000000003E-2</v>
      </c>
      <c r="N157" s="5">
        <v>62.006999999999998</v>
      </c>
      <c r="O157" s="5">
        <v>0.27400000000000002</v>
      </c>
      <c r="P157" s="5">
        <v>5.0000000000000001E-3</v>
      </c>
      <c r="Q157" s="6">
        <v>1E-3</v>
      </c>
      <c r="R157" s="6">
        <v>0.18</v>
      </c>
      <c r="S157" s="7">
        <v>1999.1659999999999</v>
      </c>
      <c r="T157" s="5">
        <v>1838.375</v>
      </c>
      <c r="U157" s="5">
        <v>1.3919999999999999</v>
      </c>
      <c r="V157" s="5">
        <v>2.077</v>
      </c>
      <c r="W157" s="5">
        <v>1.3380000000000001</v>
      </c>
      <c r="X157" s="5">
        <v>7.1740000000000004</v>
      </c>
      <c r="Y157" s="5">
        <v>11.981999999999999</v>
      </c>
      <c r="Z157" s="5">
        <v>5252</v>
      </c>
      <c r="AA157" s="5">
        <v>5270</v>
      </c>
      <c r="AB157" s="5">
        <v>5270</v>
      </c>
      <c r="AC157" s="5">
        <v>0.06</v>
      </c>
      <c r="AD157" s="5">
        <v>8.5000000000000006E-2</v>
      </c>
      <c r="AE157" s="5">
        <v>7.9000000000000001E-2</v>
      </c>
      <c r="AF157" s="5">
        <v>-4.9349999999999998E-2</v>
      </c>
      <c r="AG157" s="5">
        <v>0.11465</v>
      </c>
      <c r="AH157" s="5">
        <v>-0.16</v>
      </c>
      <c r="AI157" s="5">
        <v>0.22192999999999999</v>
      </c>
      <c r="AJ157" s="5">
        <v>-3.5229999999999997E-2</v>
      </c>
      <c r="AK157" s="5">
        <v>-3.236E-2</v>
      </c>
      <c r="AL157" s="5">
        <v>0</v>
      </c>
      <c r="AM157" s="5">
        <v>0</v>
      </c>
      <c r="AN157" s="5">
        <v>1.2529999999999999</v>
      </c>
      <c r="AO157" s="6">
        <f t="shared" si="37"/>
        <v>0.99658444022770398</v>
      </c>
      <c r="AP157" s="5">
        <f t="shared" si="38"/>
        <v>18</v>
      </c>
      <c r="AQ157" s="8">
        <f t="shared" si="44"/>
        <v>5.5384615384615386E-2</v>
      </c>
      <c r="AR157" s="6">
        <f t="shared" si="39"/>
        <v>1</v>
      </c>
      <c r="AS157" s="6">
        <f t="shared" si="40"/>
        <v>6.0954961056552653E-2</v>
      </c>
      <c r="AT157" s="6">
        <f t="shared" si="45"/>
        <v>-0.22461555556444157</v>
      </c>
      <c r="AU157" s="6">
        <f t="shared" si="42"/>
        <v>7.52841978468725E-2</v>
      </c>
      <c r="AV157" s="5">
        <f t="shared" si="46"/>
        <v>0</v>
      </c>
      <c r="AW157" s="5">
        <f t="shared" si="47"/>
        <v>0</v>
      </c>
      <c r="AX157" s="5">
        <f t="shared" si="48"/>
        <v>0</v>
      </c>
      <c r="AY157" s="5">
        <f t="shared" si="49"/>
        <v>5</v>
      </c>
      <c r="AZ157" s="5">
        <f t="shared" si="41"/>
        <v>0</v>
      </c>
    </row>
    <row r="158" spans="1:52" x14ac:dyDescent="0.3">
      <c r="A158" s="5" t="s">
        <v>52</v>
      </c>
      <c r="B158" s="5" t="s">
        <v>62</v>
      </c>
      <c r="C158" s="5" t="s">
        <v>54</v>
      </c>
      <c r="D158" s="5" t="s">
        <v>61</v>
      </c>
      <c r="E158" s="5" t="s">
        <v>55</v>
      </c>
      <c r="F158" s="5">
        <v>2</v>
      </c>
      <c r="G158" s="5">
        <v>0.04</v>
      </c>
      <c r="H158" s="5" t="b">
        <v>0</v>
      </c>
      <c r="I158" s="5" t="b">
        <v>0</v>
      </c>
      <c r="J158" s="5" t="b">
        <v>0</v>
      </c>
      <c r="K158" s="5">
        <v>2.9529999999999998</v>
      </c>
      <c r="L158" s="5">
        <v>5.1999999999999998E-2</v>
      </c>
      <c r="M158" s="5">
        <v>-5.8000000000000003E-2</v>
      </c>
      <c r="N158" s="5">
        <v>113.504</v>
      </c>
      <c r="O158" s="5">
        <v>0.159</v>
      </c>
      <c r="P158" s="5">
        <v>5.0000000000000001E-3</v>
      </c>
      <c r="Q158" s="6">
        <v>1E-3</v>
      </c>
      <c r="R158" s="6">
        <v>0.18</v>
      </c>
      <c r="S158" s="7">
        <v>2017.298</v>
      </c>
      <c r="T158" s="5">
        <v>1838.375</v>
      </c>
      <c r="U158" s="5">
        <v>1.583</v>
      </c>
      <c r="V158" s="5">
        <v>2.145</v>
      </c>
      <c r="W158" s="5">
        <v>1.5620000000000001</v>
      </c>
      <c r="X158" s="5">
        <v>3.778</v>
      </c>
      <c r="Y158" s="5">
        <v>9.0690000000000008</v>
      </c>
      <c r="Z158" s="5">
        <v>5255</v>
      </c>
      <c r="AA158" s="5">
        <v>5270</v>
      </c>
      <c r="AB158" s="5">
        <v>5270</v>
      </c>
      <c r="AC158" s="5">
        <v>0.06</v>
      </c>
      <c r="AD158" s="5">
        <v>0.09</v>
      </c>
      <c r="AE158" s="5">
        <v>7.9000000000000001E-2</v>
      </c>
      <c r="AF158" s="5">
        <v>-2.8549999999999999E-2</v>
      </c>
      <c r="AG158" s="5">
        <v>0.14044999999999999</v>
      </c>
      <c r="AH158" s="5">
        <v>-0.04</v>
      </c>
      <c r="AI158" s="5">
        <v>-2.6370000000000001E-2</v>
      </c>
      <c r="AJ158" s="5">
        <v>-1.3690000000000001E-2</v>
      </c>
      <c r="AK158" s="5">
        <v>-3.0630000000000001E-2</v>
      </c>
      <c r="AL158" s="5">
        <v>0</v>
      </c>
      <c r="AM158" s="5">
        <v>0</v>
      </c>
      <c r="AN158" s="5">
        <v>0.73599999999999999</v>
      </c>
      <c r="AO158" s="6">
        <f t="shared" si="37"/>
        <v>0.99715370018975336</v>
      </c>
      <c r="AP158" s="5">
        <f t="shared" si="38"/>
        <v>15</v>
      </c>
      <c r="AQ158" s="8">
        <f t="shared" si="44"/>
        <v>4.6153846153846156E-2</v>
      </c>
      <c r="AR158" s="6">
        <f t="shared" si="39"/>
        <v>1</v>
      </c>
      <c r="AS158" s="6">
        <f t="shared" si="40"/>
        <v>5.0795800880460547E-2</v>
      </c>
      <c r="AT158" s="6">
        <f t="shared" si="45"/>
        <v>3.4244283441843645E-2</v>
      </c>
      <c r="AU158" s="6">
        <f t="shared" si="42"/>
        <v>-0.16545334215751101</v>
      </c>
      <c r="AV158" s="5">
        <f t="shared" si="46"/>
        <v>0</v>
      </c>
      <c r="AW158" s="5">
        <f t="shared" si="47"/>
        <v>0</v>
      </c>
      <c r="AX158" s="5">
        <f t="shared" si="48"/>
        <v>0</v>
      </c>
      <c r="AY158" s="5">
        <f t="shared" si="49"/>
        <v>5</v>
      </c>
      <c r="AZ158" s="5">
        <f t="shared" si="41"/>
        <v>0</v>
      </c>
    </row>
    <row r="159" spans="1:52" x14ac:dyDescent="0.3">
      <c r="A159" s="5" t="s">
        <v>52</v>
      </c>
      <c r="B159" s="5" t="s">
        <v>62</v>
      </c>
      <c r="C159" s="5" t="s">
        <v>54</v>
      </c>
      <c r="D159" s="5" t="s">
        <v>58</v>
      </c>
      <c r="E159" s="5" t="s">
        <v>55</v>
      </c>
      <c r="F159" s="5">
        <v>2</v>
      </c>
      <c r="G159" s="5">
        <v>0.04</v>
      </c>
      <c r="H159" s="5" t="b">
        <v>0</v>
      </c>
      <c r="I159" s="5" t="b">
        <v>0</v>
      </c>
      <c r="J159" s="5" t="b">
        <v>0</v>
      </c>
      <c r="K159" s="5">
        <v>2.9529999999999998</v>
      </c>
      <c r="L159" s="5">
        <v>5.1999999999999998E-2</v>
      </c>
      <c r="M159" s="5">
        <v>-5.8000000000000003E-2</v>
      </c>
      <c r="N159" s="5">
        <v>-220.11500000000001</v>
      </c>
      <c r="O159" s="5">
        <v>-6.8000000000000005E-2</v>
      </c>
      <c r="P159" s="5">
        <v>5.0000000000000001E-3</v>
      </c>
      <c r="Q159" s="6">
        <v>1E-3</v>
      </c>
      <c r="R159" s="6">
        <v>0.18</v>
      </c>
      <c r="S159" s="7">
        <v>2030.605</v>
      </c>
      <c r="T159" s="5">
        <v>1838.375</v>
      </c>
      <c r="U159" s="5">
        <v>1.3759999999999999</v>
      </c>
      <c r="V159" s="5">
        <v>1.982</v>
      </c>
      <c r="W159" s="5">
        <v>1.3129999999999999</v>
      </c>
      <c r="X159" s="5">
        <v>3.8279999999999998</v>
      </c>
      <c r="Y159" s="5">
        <v>8.5009999999999994</v>
      </c>
      <c r="Z159" s="5">
        <v>5259</v>
      </c>
      <c r="AA159" s="5">
        <v>5270</v>
      </c>
      <c r="AB159" s="5">
        <v>5270</v>
      </c>
      <c r="AC159" s="5">
        <v>0.06</v>
      </c>
      <c r="AD159" s="5">
        <v>7.4999999999999997E-2</v>
      </c>
      <c r="AE159" s="5">
        <v>7.9000000000000001E-2</v>
      </c>
      <c r="AF159" s="5">
        <v>-1.227E-2</v>
      </c>
      <c r="AG159" s="5">
        <v>0.14172999999999999</v>
      </c>
      <c r="AH159" s="5">
        <v>0.06</v>
      </c>
      <c r="AI159" s="5">
        <v>-2.681E-2</v>
      </c>
      <c r="AJ159" s="5">
        <v>-3.0000000000000001E-5</v>
      </c>
      <c r="AK159" s="5">
        <v>-2.4840000000000001E-2</v>
      </c>
      <c r="AL159" s="5">
        <v>0</v>
      </c>
      <c r="AM159" s="5">
        <v>0</v>
      </c>
      <c r="AN159" s="5">
        <v>0.51300000000000001</v>
      </c>
      <c r="AO159" s="6">
        <f t="shared" si="37"/>
        <v>0.99791271347248578</v>
      </c>
      <c r="AP159" s="5">
        <f t="shared" si="38"/>
        <v>11</v>
      </c>
      <c r="AQ159" s="8">
        <f t="shared" si="44"/>
        <v>3.3846153846153845E-2</v>
      </c>
      <c r="AR159" s="6">
        <f t="shared" si="39"/>
        <v>1</v>
      </c>
      <c r="AS159" s="6">
        <f t="shared" si="40"/>
        <v>3.7250253979004402E-2</v>
      </c>
      <c r="AT159" s="6">
        <f t="shared" si="45"/>
        <v>2.9127267744917286E-2</v>
      </c>
      <c r="AU159" s="6">
        <f t="shared" si="42"/>
        <v>-0.30059367250319347</v>
      </c>
      <c r="AV159" s="5">
        <f t="shared" si="46"/>
        <v>0</v>
      </c>
      <c r="AW159" s="5">
        <f t="shared" si="47"/>
        <v>0</v>
      </c>
      <c r="AX159" s="5">
        <f t="shared" si="48"/>
        <v>0</v>
      </c>
      <c r="AY159" s="5">
        <f t="shared" si="49"/>
        <v>5</v>
      </c>
      <c r="AZ159" s="5">
        <f t="shared" si="41"/>
        <v>0</v>
      </c>
    </row>
    <row r="160" spans="1:52" x14ac:dyDescent="0.3">
      <c r="A160" s="5" t="s">
        <v>52</v>
      </c>
      <c r="B160" s="5" t="s">
        <v>62</v>
      </c>
      <c r="C160" s="5" t="s">
        <v>54</v>
      </c>
      <c r="D160" s="5" t="s">
        <v>58</v>
      </c>
      <c r="E160" s="5" t="s">
        <v>55</v>
      </c>
      <c r="F160" s="5">
        <v>2</v>
      </c>
      <c r="G160" s="5">
        <v>0.04</v>
      </c>
      <c r="H160" s="5" t="b">
        <v>0</v>
      </c>
      <c r="I160" s="5" t="b">
        <v>0</v>
      </c>
      <c r="J160" s="5" t="b">
        <v>0</v>
      </c>
      <c r="K160" s="5">
        <v>2.9529999999999998</v>
      </c>
      <c r="L160" s="5">
        <v>5.1999999999999998E-2</v>
      </c>
      <c r="M160" s="5">
        <v>-5.8000000000000003E-2</v>
      </c>
      <c r="N160" s="5">
        <v>-43.051000000000002</v>
      </c>
      <c r="O160" s="5">
        <v>-0.25600000000000001</v>
      </c>
      <c r="P160" s="5">
        <v>5.0000000000000001E-3</v>
      </c>
      <c r="Q160" s="6">
        <v>1E-3</v>
      </c>
      <c r="R160" s="6">
        <v>0.18</v>
      </c>
      <c r="S160" s="7">
        <v>2043.885</v>
      </c>
      <c r="T160" s="5">
        <v>1838.375</v>
      </c>
      <c r="U160" s="5">
        <v>3.3010000000000002</v>
      </c>
      <c r="V160" s="5">
        <v>2.1520000000000001</v>
      </c>
      <c r="W160" s="5">
        <v>1.4079999999999999</v>
      </c>
      <c r="X160" s="5">
        <v>3.4849999999999999</v>
      </c>
      <c r="Y160" s="5">
        <v>10.348000000000001</v>
      </c>
      <c r="Z160" s="5">
        <v>5263</v>
      </c>
      <c r="AA160" s="5">
        <v>5270</v>
      </c>
      <c r="AB160" s="5">
        <v>5270</v>
      </c>
      <c r="AC160" s="5">
        <v>0.06</v>
      </c>
      <c r="AD160" s="5">
        <v>5.5E-2</v>
      </c>
      <c r="AE160" s="5">
        <v>7.9000000000000001E-2</v>
      </c>
      <c r="AF160" s="5">
        <v>-4.5990000000000003E-2</v>
      </c>
      <c r="AG160" s="5">
        <v>8.8010000000000005E-2</v>
      </c>
      <c r="AH160" s="5">
        <v>0.18</v>
      </c>
      <c r="AI160" s="5">
        <v>8.1549999999999997E-2</v>
      </c>
      <c r="AJ160" s="5">
        <v>8.1600000000000006E-3</v>
      </c>
      <c r="AK160" s="5">
        <v>-1.593E-2</v>
      </c>
      <c r="AL160" s="5">
        <v>0</v>
      </c>
      <c r="AM160" s="5">
        <v>0</v>
      </c>
      <c r="AN160" s="5">
        <v>0.41499999999999998</v>
      </c>
      <c r="AO160" s="6">
        <f t="shared" si="37"/>
        <v>0.9986717267552182</v>
      </c>
      <c r="AP160" s="5">
        <f t="shared" si="38"/>
        <v>7</v>
      </c>
      <c r="AQ160" s="8">
        <f t="shared" si="44"/>
        <v>2.1538461538461538E-2</v>
      </c>
      <c r="AR160" s="6">
        <f t="shared" si="39"/>
        <v>1</v>
      </c>
      <c r="AS160" s="6">
        <f t="shared" si="40"/>
        <v>2.3704707077548254E-2</v>
      </c>
      <c r="AT160" s="6">
        <f t="shared" si="45"/>
        <v>-8.7022564654777479E-2</v>
      </c>
      <c r="AU160" s="6">
        <f t="shared" si="42"/>
        <v>-0.30120481927710907</v>
      </c>
      <c r="AV160" s="5">
        <f t="shared" si="46"/>
        <v>0</v>
      </c>
      <c r="AW160" s="5">
        <f t="shared" si="47"/>
        <v>0</v>
      </c>
      <c r="AX160" s="5">
        <f t="shared" si="48"/>
        <v>0</v>
      </c>
      <c r="AY160" s="5">
        <f t="shared" si="49"/>
        <v>5</v>
      </c>
      <c r="AZ160" s="5">
        <f t="shared" si="41"/>
        <v>0</v>
      </c>
    </row>
    <row r="161" spans="1:52" x14ac:dyDescent="0.3">
      <c r="A161" s="5" t="s">
        <v>52</v>
      </c>
      <c r="B161" s="5" t="s">
        <v>62</v>
      </c>
      <c r="C161" s="5" t="s">
        <v>54</v>
      </c>
      <c r="D161" s="5" t="s">
        <v>58</v>
      </c>
      <c r="E161" s="5" t="s">
        <v>55</v>
      </c>
      <c r="F161" s="5">
        <v>2</v>
      </c>
      <c r="G161" s="5">
        <v>0.04</v>
      </c>
      <c r="H161" s="5" t="b">
        <v>0</v>
      </c>
      <c r="I161" s="5" t="b">
        <v>0</v>
      </c>
      <c r="J161" s="5" t="b">
        <v>0</v>
      </c>
      <c r="K161" s="5">
        <v>2.9529999999999998</v>
      </c>
      <c r="L161" s="5">
        <v>5.1999999999999998E-2</v>
      </c>
      <c r="M161" s="5">
        <v>-5.8000000000000003E-2</v>
      </c>
      <c r="N161" s="5">
        <v>-24.209</v>
      </c>
      <c r="O161" s="5">
        <v>-0.28899999999999998</v>
      </c>
      <c r="P161" s="5">
        <v>5.0000000000000001E-3</v>
      </c>
      <c r="Q161" s="6">
        <v>1E-3</v>
      </c>
      <c r="R161" s="6">
        <v>0.18</v>
      </c>
      <c r="S161" s="7">
        <v>2059.0569999999998</v>
      </c>
      <c r="T161" s="5">
        <v>1838.375</v>
      </c>
      <c r="U161" s="5">
        <v>1.421</v>
      </c>
      <c r="V161" s="5">
        <v>2.2360000000000002</v>
      </c>
      <c r="W161" s="5">
        <v>1.6160000000000001</v>
      </c>
      <c r="X161" s="5">
        <v>3.5550000000000002</v>
      </c>
      <c r="Y161" s="5">
        <v>8.83</v>
      </c>
      <c r="Z161" s="5">
        <v>5268</v>
      </c>
      <c r="AA161" s="5">
        <v>5270</v>
      </c>
      <c r="AB161" s="5">
        <v>5270</v>
      </c>
      <c r="AC161" s="5">
        <v>0.06</v>
      </c>
      <c r="AD161" s="5">
        <v>3.5000000000000003E-2</v>
      </c>
      <c r="AE161" s="5">
        <v>7.5999999999999998E-2</v>
      </c>
      <c r="AF161" s="5">
        <v>-5.2049999999999999E-2</v>
      </c>
      <c r="AG161" s="5">
        <v>5.8950000000000002E-2</v>
      </c>
      <c r="AH161" s="5">
        <v>0.26</v>
      </c>
      <c r="AI161" s="5">
        <v>0.20499000000000001</v>
      </c>
      <c r="AJ161" s="5">
        <v>8.1399999999999997E-3</v>
      </c>
      <c r="AK161" s="5">
        <v>-6.6299999999999996E-3</v>
      </c>
      <c r="AL161" s="5">
        <v>0</v>
      </c>
      <c r="AM161" s="5">
        <v>0</v>
      </c>
      <c r="AN161" s="5">
        <v>0.255</v>
      </c>
      <c r="AO161" s="6">
        <f t="shared" si="37"/>
        <v>0.99962049335863379</v>
      </c>
      <c r="AP161" s="5">
        <f t="shared" si="38"/>
        <v>2</v>
      </c>
      <c r="AQ161" s="8">
        <f t="shared" si="44"/>
        <v>6.1538461538461538E-3</v>
      </c>
      <c r="AR161" s="6">
        <f t="shared" si="39"/>
        <v>1</v>
      </c>
      <c r="AS161" s="6">
        <f t="shared" si="40"/>
        <v>6.7727734507280731E-3</v>
      </c>
      <c r="AT161" s="6">
        <f t="shared" si="45"/>
        <v>-0.20430441569696578</v>
      </c>
      <c r="AU161" s="6">
        <f t="shared" si="42"/>
        <v>-0.32955444239388787</v>
      </c>
      <c r="AV161" s="5">
        <f t="shared" si="46"/>
        <v>0</v>
      </c>
      <c r="AW161" s="5">
        <f t="shared" si="47"/>
        <v>0</v>
      </c>
      <c r="AX161" s="5">
        <f t="shared" si="48"/>
        <v>0</v>
      </c>
      <c r="AY161" s="5">
        <f t="shared" si="49"/>
        <v>5</v>
      </c>
      <c r="AZ161" s="5">
        <f t="shared" si="41"/>
        <v>5</v>
      </c>
    </row>
    <row r="162" spans="1:52" x14ac:dyDescent="0.3">
      <c r="A162" s="5" t="s">
        <v>52</v>
      </c>
      <c r="B162" s="5" t="s">
        <v>62</v>
      </c>
      <c r="C162" s="5" t="s">
        <v>54</v>
      </c>
      <c r="D162" s="5" t="s">
        <v>58</v>
      </c>
      <c r="E162" s="5" t="s">
        <v>55</v>
      </c>
      <c r="F162" s="5">
        <v>2</v>
      </c>
      <c r="G162" s="5">
        <v>0.04</v>
      </c>
      <c r="H162" s="5" t="b">
        <v>0</v>
      </c>
      <c r="I162" s="5" t="b">
        <v>0</v>
      </c>
      <c r="J162" s="5" t="b">
        <v>0</v>
      </c>
      <c r="K162" s="5">
        <v>2.9529999999999998</v>
      </c>
      <c r="L162" s="5">
        <v>5.1999999999999998E-2</v>
      </c>
      <c r="M162" s="5">
        <v>-5.8000000000000003E-2</v>
      </c>
      <c r="N162" s="5">
        <v>-6.3440000000000003</v>
      </c>
      <c r="O162" s="5">
        <v>-0.315</v>
      </c>
      <c r="P162" s="5">
        <v>5.0000000000000001E-3</v>
      </c>
      <c r="Q162" s="6">
        <v>1E-3</v>
      </c>
      <c r="R162" s="6">
        <v>0.18</v>
      </c>
      <c r="S162" s="7">
        <v>2072.9470000000001</v>
      </c>
      <c r="T162" s="5">
        <v>1838.375</v>
      </c>
      <c r="U162" s="5">
        <v>1.5289999999999999</v>
      </c>
      <c r="V162" s="5">
        <v>2.1749999999999998</v>
      </c>
      <c r="W162" s="5">
        <v>1.4530000000000001</v>
      </c>
      <c r="X162" s="5">
        <v>3.4830000000000001</v>
      </c>
      <c r="Y162" s="5">
        <v>8.6430000000000007</v>
      </c>
      <c r="Z162" s="5">
        <v>5272</v>
      </c>
      <c r="AA162" s="5">
        <v>5270</v>
      </c>
      <c r="AB162" s="5">
        <v>5270</v>
      </c>
      <c r="AC162" s="5">
        <v>0.06</v>
      </c>
      <c r="AD162" s="5">
        <v>0.01</v>
      </c>
      <c r="AE162" s="5">
        <v>6.8000000000000005E-2</v>
      </c>
      <c r="AF162" s="5">
        <v>-5.6739999999999999E-2</v>
      </c>
      <c r="AG162" s="5">
        <v>2.1260000000000001E-2</v>
      </c>
      <c r="AH162" s="5">
        <v>0.28000000000000003</v>
      </c>
      <c r="AI162" s="5">
        <v>0.27106999999999998</v>
      </c>
      <c r="AJ162" s="5">
        <v>4.7600000000000003E-3</v>
      </c>
      <c r="AK162" s="5">
        <v>6.7000000000000002E-4</v>
      </c>
      <c r="AL162" s="5">
        <v>0</v>
      </c>
      <c r="AM162" s="5">
        <v>0</v>
      </c>
      <c r="AN162" s="5">
        <v>8.6999999999999994E-2</v>
      </c>
      <c r="AO162" s="6">
        <f t="shared" si="37"/>
        <v>1.0003795066413663</v>
      </c>
      <c r="AP162" s="5">
        <f t="shared" si="38"/>
        <v>-2</v>
      </c>
      <c r="AQ162" s="8">
        <f t="shared" si="44"/>
        <v>-6.1538461538461538E-3</v>
      </c>
      <c r="AR162" s="6">
        <f t="shared" si="39"/>
        <v>1</v>
      </c>
      <c r="AS162" s="6">
        <f t="shared" si="40"/>
        <v>-6.7727734507280731E-3</v>
      </c>
      <c r="AT162" s="6">
        <f t="shared" si="45"/>
        <v>-0.27695664763494943</v>
      </c>
      <c r="AU162" s="6">
        <f t="shared" si="42"/>
        <v>-0.28797696184304578</v>
      </c>
      <c r="AV162" s="5">
        <f t="shared" si="46"/>
        <v>0</v>
      </c>
      <c r="AW162" s="5">
        <f t="shared" si="47"/>
        <v>0</v>
      </c>
      <c r="AX162" s="5">
        <f t="shared" si="48"/>
        <v>0</v>
      </c>
      <c r="AY162" s="5">
        <f t="shared" si="49"/>
        <v>5</v>
      </c>
      <c r="AZ162" s="5">
        <f t="shared" si="41"/>
        <v>5</v>
      </c>
    </row>
    <row r="163" spans="1:52" x14ac:dyDescent="0.3">
      <c r="A163" s="5" t="s">
        <v>52</v>
      </c>
      <c r="B163" s="5" t="s">
        <v>62</v>
      </c>
      <c r="C163" s="5" t="s">
        <v>54</v>
      </c>
      <c r="D163" s="5" t="s">
        <v>61</v>
      </c>
      <c r="E163" s="5" t="s">
        <v>55</v>
      </c>
      <c r="F163" s="5">
        <v>2</v>
      </c>
      <c r="G163" s="5">
        <v>0.04</v>
      </c>
      <c r="H163" s="5" t="b">
        <v>0</v>
      </c>
      <c r="I163" s="5" t="b">
        <v>0</v>
      </c>
      <c r="J163" s="5" t="b">
        <v>0</v>
      </c>
      <c r="K163" s="5">
        <v>2.9529999999999998</v>
      </c>
      <c r="L163" s="5">
        <v>5.1999999999999998E-2</v>
      </c>
      <c r="M163" s="5">
        <v>-5.8000000000000003E-2</v>
      </c>
      <c r="N163" s="5">
        <v>6.0780000000000003</v>
      </c>
      <c r="O163" s="5">
        <v>-0.32900000000000001</v>
      </c>
      <c r="P163" s="5">
        <v>5.0000000000000001E-3</v>
      </c>
      <c r="Q163" s="6">
        <v>1E-3</v>
      </c>
      <c r="R163" s="6">
        <v>0.18</v>
      </c>
      <c r="S163" s="7">
        <v>2086.326</v>
      </c>
      <c r="T163" s="5">
        <v>1838.375</v>
      </c>
      <c r="U163" s="5">
        <v>1.4850000000000001</v>
      </c>
      <c r="V163" s="5">
        <v>2.1949999999999998</v>
      </c>
      <c r="W163" s="5">
        <v>1.4159999999999999</v>
      </c>
      <c r="X163" s="5">
        <v>3.395</v>
      </c>
      <c r="Y163" s="5">
        <v>8.4939999999999998</v>
      </c>
      <c r="Z163" s="5">
        <v>5275</v>
      </c>
      <c r="AA163" s="5">
        <v>5270</v>
      </c>
      <c r="AB163" s="5">
        <v>5270</v>
      </c>
      <c r="AC163" s="5">
        <v>0.06</v>
      </c>
      <c r="AD163" s="5">
        <v>-0.01</v>
      </c>
      <c r="AE163" s="5">
        <v>5.7000000000000002E-2</v>
      </c>
      <c r="AF163" s="5">
        <v>5.9229999999999998E-2</v>
      </c>
      <c r="AG163" s="5">
        <v>0.10623</v>
      </c>
      <c r="AH163" s="5">
        <v>0.3</v>
      </c>
      <c r="AI163" s="5">
        <v>0.28974</v>
      </c>
      <c r="AJ163" s="5">
        <v>1.39E-3</v>
      </c>
      <c r="AK163" s="5">
        <v>4.5799999999999999E-3</v>
      </c>
      <c r="AL163" s="5">
        <v>0</v>
      </c>
      <c r="AM163" s="5">
        <v>0</v>
      </c>
      <c r="AN163" s="5">
        <v>5.0999999999999997E-2</v>
      </c>
      <c r="AO163" s="6">
        <f t="shared" si="37"/>
        <v>1.0009487666034156</v>
      </c>
      <c r="AP163" s="5">
        <f t="shared" si="38"/>
        <v>-5</v>
      </c>
      <c r="AQ163" s="8">
        <f t="shared" si="44"/>
        <v>-1.5384615384615385E-2</v>
      </c>
      <c r="AR163" s="6">
        <f t="shared" si="39"/>
        <v>1</v>
      </c>
      <c r="AS163" s="6">
        <f t="shared" si="40"/>
        <v>-1.6931933626820182E-2</v>
      </c>
      <c r="AT163" s="6">
        <f t="shared" si="45"/>
        <v>-0.28871238027976115</v>
      </c>
      <c r="AU163" s="6">
        <f t="shared" si="42"/>
        <v>-0.2242320053815697</v>
      </c>
      <c r="AV163" s="5">
        <f t="shared" si="46"/>
        <v>0</v>
      </c>
      <c r="AW163" s="5">
        <f t="shared" si="47"/>
        <v>0</v>
      </c>
      <c r="AX163" s="5">
        <f t="shared" si="48"/>
        <v>0</v>
      </c>
      <c r="AY163" s="5">
        <f t="shared" si="49"/>
        <v>5</v>
      </c>
      <c r="AZ163" s="5">
        <f t="shared" si="41"/>
        <v>0</v>
      </c>
    </row>
    <row r="164" spans="1:52" x14ac:dyDescent="0.3">
      <c r="A164" s="5" t="s">
        <v>52</v>
      </c>
      <c r="B164" s="5" t="s">
        <v>62</v>
      </c>
      <c r="C164" s="5" t="s">
        <v>54</v>
      </c>
      <c r="D164" s="5" t="s">
        <v>61</v>
      </c>
      <c r="E164" s="5" t="s">
        <v>55</v>
      </c>
      <c r="F164" s="5">
        <v>2</v>
      </c>
      <c r="G164" s="5">
        <v>0.04</v>
      </c>
      <c r="H164" s="5" t="b">
        <v>0</v>
      </c>
      <c r="I164" s="5" t="b">
        <v>0</v>
      </c>
      <c r="J164" s="5" t="b">
        <v>0</v>
      </c>
      <c r="K164" s="5">
        <v>2.9529999999999998</v>
      </c>
      <c r="L164" s="5">
        <v>5.1999999999999998E-2</v>
      </c>
      <c r="M164" s="5">
        <v>-5.8000000000000003E-2</v>
      </c>
      <c r="N164" s="5">
        <v>19.277000000000001</v>
      </c>
      <c r="O164" s="5">
        <v>-0.25900000000000001</v>
      </c>
      <c r="P164" s="5">
        <v>5.0000000000000001E-3</v>
      </c>
      <c r="Q164" s="6">
        <v>1E-3</v>
      </c>
      <c r="R164" s="6">
        <v>0.18</v>
      </c>
      <c r="S164" s="7">
        <v>2099.5059999999999</v>
      </c>
      <c r="T164" s="5">
        <v>1838.375</v>
      </c>
      <c r="U164" s="5">
        <v>1.43</v>
      </c>
      <c r="V164" s="5">
        <v>2.1720000000000002</v>
      </c>
      <c r="W164" s="5">
        <v>1.665</v>
      </c>
      <c r="X164" s="5">
        <v>3.718</v>
      </c>
      <c r="Y164" s="5">
        <v>8.9870000000000001</v>
      </c>
      <c r="Z164" s="5">
        <v>5279</v>
      </c>
      <c r="AA164" s="5">
        <v>5270</v>
      </c>
      <c r="AB164" s="5">
        <v>5270</v>
      </c>
      <c r="AC164" s="5">
        <v>0.06</v>
      </c>
      <c r="AD164" s="5">
        <v>-2.5000000000000001E-2</v>
      </c>
      <c r="AE164" s="5">
        <v>4.2000000000000003E-2</v>
      </c>
      <c r="AF164" s="5">
        <v>4.6690000000000002E-2</v>
      </c>
      <c r="AG164" s="5">
        <v>6.3689999999999997E-2</v>
      </c>
      <c r="AH164" s="5">
        <v>0.28000000000000003</v>
      </c>
      <c r="AI164" s="5">
        <v>0.29026999999999997</v>
      </c>
      <c r="AJ164" s="5">
        <v>4.0000000000000003E-5</v>
      </c>
      <c r="AK164" s="5">
        <v>4.5999999999999999E-3</v>
      </c>
      <c r="AL164" s="5">
        <v>0</v>
      </c>
      <c r="AM164" s="5">
        <v>0</v>
      </c>
      <c r="AN164" s="5">
        <v>0.105</v>
      </c>
      <c r="AO164" s="6">
        <f t="shared" si="37"/>
        <v>1.001707779886148</v>
      </c>
      <c r="AP164" s="5">
        <f t="shared" si="38"/>
        <v>-9</v>
      </c>
      <c r="AQ164" s="8">
        <f t="shared" si="44"/>
        <v>-2.7692307692307693E-2</v>
      </c>
      <c r="AR164" s="6">
        <f t="shared" si="39"/>
        <v>1</v>
      </c>
      <c r="AS164" s="6">
        <f t="shared" si="40"/>
        <v>-3.0477480528276327E-2</v>
      </c>
      <c r="AT164" s="6">
        <f t="shared" si="45"/>
        <v>-0.2892916730932355</v>
      </c>
      <c r="AU164" s="6">
        <f t="shared" si="42"/>
        <v>-0.30349013657056523</v>
      </c>
      <c r="AV164" s="5">
        <f t="shared" si="46"/>
        <v>0</v>
      </c>
      <c r="AW164" s="5">
        <f t="shared" si="47"/>
        <v>0</v>
      </c>
      <c r="AX164" s="5">
        <f t="shared" si="48"/>
        <v>0</v>
      </c>
      <c r="AY164" s="5">
        <f t="shared" si="49"/>
        <v>5</v>
      </c>
      <c r="AZ164" s="5">
        <f t="shared" si="41"/>
        <v>0</v>
      </c>
    </row>
    <row r="165" spans="1:52" x14ac:dyDescent="0.3">
      <c r="A165" s="5" t="s">
        <v>52</v>
      </c>
      <c r="B165" s="5" t="s">
        <v>62</v>
      </c>
      <c r="C165" s="5" t="s">
        <v>54</v>
      </c>
      <c r="D165" s="5" t="s">
        <v>61</v>
      </c>
      <c r="E165" s="5" t="s">
        <v>55</v>
      </c>
      <c r="F165" s="5">
        <v>2</v>
      </c>
      <c r="G165" s="5">
        <v>0.04</v>
      </c>
      <c r="H165" s="5" t="b">
        <v>0</v>
      </c>
      <c r="I165" s="5" t="b">
        <v>0</v>
      </c>
      <c r="J165" s="5" t="b">
        <v>0</v>
      </c>
      <c r="K165" s="5">
        <v>2.9529999999999998</v>
      </c>
      <c r="L165" s="5">
        <v>5.1999999999999998E-2</v>
      </c>
      <c r="M165" s="5">
        <v>-5.8000000000000003E-2</v>
      </c>
      <c r="N165" s="5">
        <v>34.667999999999999</v>
      </c>
      <c r="O165" s="5">
        <v>-0.26</v>
      </c>
      <c r="P165" s="5">
        <v>5.0000000000000001E-3</v>
      </c>
      <c r="Q165" s="6">
        <v>1E-3</v>
      </c>
      <c r="R165" s="6">
        <v>0.18</v>
      </c>
      <c r="S165" s="7">
        <v>2113.9839999999999</v>
      </c>
      <c r="T165" s="5">
        <v>1838.375</v>
      </c>
      <c r="U165" s="5">
        <v>3.2149999999999999</v>
      </c>
      <c r="V165" s="5">
        <v>2.6219999999999999</v>
      </c>
      <c r="W165" s="5">
        <v>1.6419999999999999</v>
      </c>
      <c r="X165" s="5">
        <v>3.887</v>
      </c>
      <c r="Y165" s="5">
        <v>11.369</v>
      </c>
      <c r="Z165" s="5">
        <v>5282</v>
      </c>
      <c r="AA165" s="5">
        <v>5270</v>
      </c>
      <c r="AB165" s="5">
        <v>5270</v>
      </c>
      <c r="AC165" s="5">
        <v>0.06</v>
      </c>
      <c r="AD165" s="5">
        <v>-4.4999999999999998E-2</v>
      </c>
      <c r="AE165" s="5">
        <v>2.3E-2</v>
      </c>
      <c r="AF165" s="5">
        <v>4.6730000000000001E-2</v>
      </c>
      <c r="AG165" s="5">
        <v>2.4729999999999999E-2</v>
      </c>
      <c r="AH165" s="5">
        <v>0.28000000000000003</v>
      </c>
      <c r="AI165" s="5">
        <v>0.27105000000000001</v>
      </c>
      <c r="AJ165" s="5">
        <v>-1.33E-3</v>
      </c>
      <c r="AK165" s="5">
        <v>2.7000000000000001E-3</v>
      </c>
      <c r="AL165" s="5">
        <v>0</v>
      </c>
      <c r="AM165" s="5">
        <v>0</v>
      </c>
      <c r="AN165" s="5">
        <v>5.0999999999999997E-2</v>
      </c>
      <c r="AO165" s="6">
        <f t="shared" si="37"/>
        <v>1.0022770398481973</v>
      </c>
      <c r="AP165" s="5">
        <f t="shared" si="38"/>
        <v>-12</v>
      </c>
      <c r="AQ165" s="8">
        <f t="shared" si="44"/>
        <v>-3.6923076923076927E-2</v>
      </c>
      <c r="AR165" s="6">
        <f t="shared" si="39"/>
        <v>1</v>
      </c>
      <c r="AS165" s="6">
        <f t="shared" si="40"/>
        <v>-4.063664070436844E-2</v>
      </c>
      <c r="AT165" s="6">
        <f t="shared" si="45"/>
        <v>-0.27049289738534771</v>
      </c>
      <c r="AU165" s="6">
        <f t="shared" si="42"/>
        <v>-0.20721094073767002</v>
      </c>
      <c r="AV165" s="5">
        <f t="shared" si="46"/>
        <v>0</v>
      </c>
      <c r="AW165" s="5">
        <f t="shared" si="47"/>
        <v>0</v>
      </c>
      <c r="AX165" s="5">
        <f t="shared" si="48"/>
        <v>0</v>
      </c>
      <c r="AY165" s="5">
        <f t="shared" si="49"/>
        <v>5</v>
      </c>
      <c r="AZ165" s="5">
        <f t="shared" si="41"/>
        <v>0</v>
      </c>
    </row>
    <row r="166" spans="1:52" x14ac:dyDescent="0.3">
      <c r="A166" s="5" t="s">
        <v>52</v>
      </c>
      <c r="B166" s="5" t="s">
        <v>62</v>
      </c>
      <c r="C166" s="5" t="s">
        <v>54</v>
      </c>
      <c r="D166" s="5" t="s">
        <v>61</v>
      </c>
      <c r="E166" s="5" t="s">
        <v>55</v>
      </c>
      <c r="F166" s="5">
        <v>2</v>
      </c>
      <c r="G166" s="5">
        <v>0.04</v>
      </c>
      <c r="H166" s="5" t="b">
        <v>0</v>
      </c>
      <c r="I166" s="5" t="b">
        <v>0</v>
      </c>
      <c r="J166" s="5" t="b">
        <v>0</v>
      </c>
      <c r="K166" s="5">
        <v>2.9529999999999998</v>
      </c>
      <c r="L166" s="5">
        <v>5.1999999999999998E-2</v>
      </c>
      <c r="M166" s="5">
        <v>-5.8000000000000003E-2</v>
      </c>
      <c r="N166" s="5">
        <v>51.015000000000001</v>
      </c>
      <c r="O166" s="5">
        <v>-0.23499999999999999</v>
      </c>
      <c r="P166" s="5">
        <v>5.0000000000000001E-3</v>
      </c>
      <c r="Q166" s="6">
        <v>1E-3</v>
      </c>
      <c r="R166" s="6">
        <v>0.18</v>
      </c>
      <c r="S166" s="7">
        <v>2130.0419999999999</v>
      </c>
      <c r="T166" s="5">
        <v>1838.375</v>
      </c>
      <c r="U166" s="5">
        <v>1.454</v>
      </c>
      <c r="V166" s="5">
        <v>2.3340000000000001</v>
      </c>
      <c r="W166" s="5">
        <v>1.5640000000000001</v>
      </c>
      <c r="X166" s="5">
        <v>3.4630000000000001</v>
      </c>
      <c r="Y166" s="5">
        <v>8.8170000000000002</v>
      </c>
      <c r="Z166" s="5">
        <v>5286</v>
      </c>
      <c r="AA166" s="5">
        <v>5270</v>
      </c>
      <c r="AB166" s="5">
        <v>5270</v>
      </c>
      <c r="AC166" s="5">
        <v>0.06</v>
      </c>
      <c r="AD166" s="5">
        <v>-0.06</v>
      </c>
      <c r="AE166" s="5">
        <v>3.0000000000000001E-3</v>
      </c>
      <c r="AF166" s="5">
        <v>4.2340000000000003E-2</v>
      </c>
      <c r="AG166" s="5">
        <v>-1.4659999999999999E-2</v>
      </c>
      <c r="AH166" s="5">
        <v>0.24</v>
      </c>
      <c r="AI166" s="5">
        <v>0.25357000000000002</v>
      </c>
      <c r="AJ166" s="5">
        <v>-1.09E-3</v>
      </c>
      <c r="AK166" s="5">
        <v>6.8000000000000005E-4</v>
      </c>
      <c r="AL166" s="5">
        <v>0</v>
      </c>
      <c r="AM166" s="5">
        <v>0</v>
      </c>
      <c r="AN166" s="5">
        <v>0.182</v>
      </c>
      <c r="AO166" s="6">
        <f t="shared" si="37"/>
        <v>1.0030360531309297</v>
      </c>
      <c r="AP166" s="5">
        <f t="shared" si="38"/>
        <v>-16</v>
      </c>
      <c r="AQ166" s="8">
        <f t="shared" si="44"/>
        <v>-4.9230769230769231E-2</v>
      </c>
      <c r="AR166" s="6">
        <f t="shared" si="39"/>
        <v>1</v>
      </c>
      <c r="AS166" s="6">
        <f t="shared" si="40"/>
        <v>-5.4182187605824585E-2</v>
      </c>
      <c r="AT166" s="6">
        <f t="shared" si="45"/>
        <v>-0.25440141356468449</v>
      </c>
      <c r="AU166" s="6">
        <f t="shared" si="42"/>
        <v>-0.24909702329057179</v>
      </c>
      <c r="AV166" s="5">
        <f t="shared" si="46"/>
        <v>0</v>
      </c>
      <c r="AW166" s="5">
        <f t="shared" si="47"/>
        <v>0</v>
      </c>
      <c r="AX166" s="5">
        <f t="shared" si="48"/>
        <v>0</v>
      </c>
      <c r="AY166" s="5">
        <f t="shared" si="49"/>
        <v>5</v>
      </c>
      <c r="AZ166" s="5">
        <f t="shared" si="41"/>
        <v>0</v>
      </c>
    </row>
    <row r="167" spans="1:52" x14ac:dyDescent="0.3">
      <c r="A167" s="5" t="s">
        <v>52</v>
      </c>
      <c r="B167" s="5" t="s">
        <v>62</v>
      </c>
      <c r="C167" s="5" t="s">
        <v>54</v>
      </c>
      <c r="D167" s="5" t="s">
        <v>61</v>
      </c>
      <c r="E167" s="5" t="s">
        <v>55</v>
      </c>
      <c r="F167" s="5">
        <v>2</v>
      </c>
      <c r="G167" s="5">
        <v>0.04</v>
      </c>
      <c r="H167" s="5" t="b">
        <v>0</v>
      </c>
      <c r="I167" s="5" t="b">
        <v>0</v>
      </c>
      <c r="J167" s="5" t="b">
        <v>0</v>
      </c>
      <c r="K167" s="5">
        <v>2.9529999999999998</v>
      </c>
      <c r="L167" s="5">
        <v>5.1999999999999998E-2</v>
      </c>
      <c r="M167" s="5">
        <v>-5.8000000000000003E-2</v>
      </c>
      <c r="N167" s="5">
        <v>67.459999999999994</v>
      </c>
      <c r="O167" s="5">
        <v>-0.23699999999999999</v>
      </c>
      <c r="P167" s="5">
        <v>5.0000000000000001E-3</v>
      </c>
      <c r="Q167" s="6">
        <v>1E-3</v>
      </c>
      <c r="R167" s="6">
        <v>0.18</v>
      </c>
      <c r="S167" s="7">
        <v>2144.587</v>
      </c>
      <c r="T167" s="5">
        <v>1838.375</v>
      </c>
      <c r="U167" s="5">
        <v>1.3720000000000001</v>
      </c>
      <c r="V167" s="5">
        <v>2.0649999999999999</v>
      </c>
      <c r="W167" s="5">
        <v>1.278</v>
      </c>
      <c r="X167" s="5">
        <v>3.3820000000000001</v>
      </c>
      <c r="Y167" s="5">
        <v>8.0990000000000002</v>
      </c>
      <c r="Z167" s="5">
        <v>5287</v>
      </c>
      <c r="AA167" s="5">
        <v>5270</v>
      </c>
      <c r="AB167" s="5">
        <v>5270</v>
      </c>
      <c r="AC167" s="5">
        <v>0.06</v>
      </c>
      <c r="AD167" s="5">
        <v>-0.08</v>
      </c>
      <c r="AE167" s="5">
        <v>-1.7000000000000001E-2</v>
      </c>
      <c r="AF167" s="5">
        <v>4.2689999999999999E-2</v>
      </c>
      <c r="AG167" s="5">
        <v>-5.4309999999999997E-2</v>
      </c>
      <c r="AH167" s="5">
        <v>0.22</v>
      </c>
      <c r="AI167" s="5">
        <v>0.20938000000000001</v>
      </c>
      <c r="AJ167" s="5">
        <v>-3.0400000000000002E-3</v>
      </c>
      <c r="AK167" s="5">
        <v>-8.5999999999999998E-4</v>
      </c>
      <c r="AL167" s="5">
        <v>0</v>
      </c>
      <c r="AM167" s="5">
        <v>0</v>
      </c>
      <c r="AN167" s="5">
        <v>0.32</v>
      </c>
      <c r="AO167" s="6">
        <f t="shared" si="37"/>
        <v>1.0032258064516129</v>
      </c>
      <c r="AP167" s="5">
        <f t="shared" si="38"/>
        <v>-17</v>
      </c>
      <c r="AQ167" s="8">
        <f t="shared" si="44"/>
        <v>-5.2307692307692305E-2</v>
      </c>
      <c r="AR167" s="6">
        <f t="shared" si="39"/>
        <v>1</v>
      </c>
      <c r="AS167" s="6">
        <f t="shared" si="40"/>
        <v>-5.7568574331188622E-2</v>
      </c>
      <c r="AT167" s="6">
        <f t="shared" si="45"/>
        <v>-0.21055645089700342</v>
      </c>
      <c r="AU167" s="6">
        <f t="shared" si="42"/>
        <v>-6.8752148504640426E-2</v>
      </c>
      <c r="AV167" s="5">
        <f t="shared" si="46"/>
        <v>0</v>
      </c>
      <c r="AW167" s="5">
        <f t="shared" si="47"/>
        <v>0</v>
      </c>
      <c r="AX167" s="5">
        <f t="shared" si="48"/>
        <v>0</v>
      </c>
      <c r="AY167" s="5">
        <f t="shared" si="49"/>
        <v>5</v>
      </c>
      <c r="AZ167" s="5">
        <f t="shared" si="41"/>
        <v>0</v>
      </c>
    </row>
    <row r="168" spans="1:52" x14ac:dyDescent="0.3">
      <c r="A168" s="5" t="s">
        <v>52</v>
      </c>
      <c r="B168" s="5" t="s">
        <v>62</v>
      </c>
      <c r="C168" s="5" t="s">
        <v>54</v>
      </c>
      <c r="D168" s="5" t="s">
        <v>61</v>
      </c>
      <c r="E168" s="5" t="s">
        <v>55</v>
      </c>
      <c r="F168" s="5">
        <v>2</v>
      </c>
      <c r="G168" s="5">
        <v>0.04</v>
      </c>
      <c r="H168" s="5" t="b">
        <v>0</v>
      </c>
      <c r="I168" s="5" t="b">
        <v>0</v>
      </c>
      <c r="J168" s="5" t="b">
        <v>0</v>
      </c>
      <c r="K168" s="5">
        <v>2.9529999999999998</v>
      </c>
      <c r="L168" s="5">
        <v>5.1999999999999998E-2</v>
      </c>
      <c r="M168" s="5">
        <v>-5.8000000000000003E-2</v>
      </c>
      <c r="N168" s="5">
        <v>92.213999999999999</v>
      </c>
      <c r="O168" s="5">
        <v>-0.184</v>
      </c>
      <c r="P168" s="5">
        <v>5.0000000000000001E-3</v>
      </c>
      <c r="Q168" s="6">
        <v>1E-3</v>
      </c>
      <c r="R168" s="6">
        <v>0.18</v>
      </c>
      <c r="S168" s="7">
        <v>2156.8649999999998</v>
      </c>
      <c r="T168" s="5">
        <v>1838.375</v>
      </c>
      <c r="U168" s="5">
        <v>1.458</v>
      </c>
      <c r="V168" s="5">
        <v>2.2160000000000002</v>
      </c>
      <c r="W168" s="5">
        <v>1.379</v>
      </c>
      <c r="X168" s="5">
        <v>3.6970000000000001</v>
      </c>
      <c r="Y168" s="5">
        <v>8.7520000000000007</v>
      </c>
      <c r="Z168" s="5">
        <v>5287</v>
      </c>
      <c r="AA168" s="5">
        <v>5270</v>
      </c>
      <c r="AB168" s="5">
        <v>5270</v>
      </c>
      <c r="AC168" s="5">
        <v>0.06</v>
      </c>
      <c r="AD168" s="5">
        <v>-8.5000000000000006E-2</v>
      </c>
      <c r="AE168" s="5">
        <v>-3.6999999999999998E-2</v>
      </c>
      <c r="AF168" s="5">
        <v>3.3180000000000001E-2</v>
      </c>
      <c r="AG168" s="5">
        <v>-8.8819999999999996E-2</v>
      </c>
      <c r="AH168" s="5">
        <v>0.18</v>
      </c>
      <c r="AI168" s="5">
        <v>0.17011999999999999</v>
      </c>
      <c r="AJ168" s="5">
        <v>-3.2000000000000002E-3</v>
      </c>
      <c r="AK168" s="5">
        <v>-1.6999999999999999E-3</v>
      </c>
      <c r="AL168" s="5">
        <v>0</v>
      </c>
      <c r="AM168" s="5">
        <v>0</v>
      </c>
      <c r="AN168" s="5">
        <v>0.39700000000000002</v>
      </c>
      <c r="AO168" s="6">
        <f t="shared" si="37"/>
        <v>1.0032258064516129</v>
      </c>
      <c r="AP168" s="5">
        <f t="shared" si="38"/>
        <v>-17</v>
      </c>
      <c r="AQ168" s="8">
        <f t="shared" si="44"/>
        <v>-5.2307692307692305E-2</v>
      </c>
      <c r="AR168" s="6">
        <f t="shared" si="39"/>
        <v>1</v>
      </c>
      <c r="AS168" s="6">
        <f t="shared" si="40"/>
        <v>-5.7568574331188622E-2</v>
      </c>
      <c r="AT168" s="6">
        <f t="shared" si="45"/>
        <v>-0.16571004982068949</v>
      </c>
      <c r="AU168" s="6">
        <f t="shared" si="42"/>
        <v>0</v>
      </c>
      <c r="AV168" s="5">
        <f t="shared" si="46"/>
        <v>0</v>
      </c>
      <c r="AW168" s="5">
        <f t="shared" si="47"/>
        <v>0</v>
      </c>
      <c r="AX168" s="5">
        <f t="shared" si="48"/>
        <v>0</v>
      </c>
      <c r="AY168" s="5">
        <f t="shared" si="49"/>
        <v>5</v>
      </c>
      <c r="AZ168" s="5">
        <f t="shared" si="41"/>
        <v>0</v>
      </c>
    </row>
    <row r="169" spans="1:52" x14ac:dyDescent="0.3">
      <c r="A169" s="5" t="s">
        <v>52</v>
      </c>
      <c r="B169" s="5" t="s">
        <v>62</v>
      </c>
      <c r="C169" s="5" t="s">
        <v>54</v>
      </c>
      <c r="D169" s="5" t="s">
        <v>61</v>
      </c>
      <c r="E169" s="5" t="s">
        <v>55</v>
      </c>
      <c r="F169" s="5">
        <v>2</v>
      </c>
      <c r="G169" s="5">
        <v>0.04</v>
      </c>
      <c r="H169" s="5" t="b">
        <v>0</v>
      </c>
      <c r="I169" s="5" t="b">
        <v>0</v>
      </c>
      <c r="J169" s="5" t="b">
        <v>0</v>
      </c>
      <c r="K169" s="5">
        <v>2.9529999999999998</v>
      </c>
      <c r="L169" s="5">
        <v>5.1999999999999998E-2</v>
      </c>
      <c r="M169" s="5">
        <v>-5.8000000000000003E-2</v>
      </c>
      <c r="N169" s="5">
        <v>470.149</v>
      </c>
      <c r="O169" s="5">
        <v>-3.5999999999999997E-2</v>
      </c>
      <c r="P169" s="5">
        <v>5.0000000000000001E-3</v>
      </c>
      <c r="Q169" s="6">
        <v>1E-3</v>
      </c>
      <c r="R169" s="6">
        <v>0.18</v>
      </c>
      <c r="S169" s="7">
        <v>2169.6880000000001</v>
      </c>
      <c r="T169" s="5">
        <v>1838.375</v>
      </c>
      <c r="U169" s="5">
        <v>1.42</v>
      </c>
      <c r="V169" s="5">
        <v>2.141</v>
      </c>
      <c r="W169" s="5">
        <v>1.452</v>
      </c>
      <c r="X169" s="5">
        <v>4.7350000000000003</v>
      </c>
      <c r="Y169" s="5">
        <v>9.75</v>
      </c>
      <c r="Z169" s="5">
        <v>5286</v>
      </c>
      <c r="AA169" s="5">
        <v>5270</v>
      </c>
      <c r="AB169" s="5">
        <v>5270</v>
      </c>
      <c r="AC169" s="5">
        <v>0.06</v>
      </c>
      <c r="AD169" s="5">
        <v>-8.5000000000000006E-2</v>
      </c>
      <c r="AE169" s="5">
        <v>-5.3999999999999999E-2</v>
      </c>
      <c r="AF169" s="5">
        <v>6.5100000000000002E-3</v>
      </c>
      <c r="AG169" s="5">
        <v>-0.13249</v>
      </c>
      <c r="AH169" s="5">
        <v>0.06</v>
      </c>
      <c r="AI169" s="5">
        <v>9.9739999999999995E-2</v>
      </c>
      <c r="AJ169" s="5">
        <v>-5.4900000000000001E-3</v>
      </c>
      <c r="AK169" s="5">
        <v>-2.7100000000000002E-3</v>
      </c>
      <c r="AL169" s="5">
        <v>0</v>
      </c>
      <c r="AM169" s="5">
        <v>0</v>
      </c>
      <c r="AN169" s="5">
        <v>0.46600000000000003</v>
      </c>
      <c r="AO169" s="6">
        <f t="shared" si="37"/>
        <v>1.0030360531309297</v>
      </c>
      <c r="AP169" s="5">
        <f t="shared" si="38"/>
        <v>-16</v>
      </c>
      <c r="AQ169" s="8">
        <f t="shared" si="44"/>
        <v>-4.9230769230769231E-2</v>
      </c>
      <c r="AR169" s="6">
        <f t="shared" si="39"/>
        <v>1</v>
      </c>
      <c r="AS169" s="6">
        <f t="shared" si="40"/>
        <v>-5.4182187605824585E-2</v>
      </c>
      <c r="AT169" s="6">
        <f t="shared" si="45"/>
        <v>-8.9415048319569118E-2</v>
      </c>
      <c r="AU169" s="6">
        <f t="shared" si="42"/>
        <v>7.7984870935036657E-2</v>
      </c>
      <c r="AV169" s="5">
        <f t="shared" si="46"/>
        <v>0</v>
      </c>
      <c r="AW169" s="5">
        <f t="shared" si="47"/>
        <v>0</v>
      </c>
      <c r="AX169" s="5">
        <f t="shared" si="48"/>
        <v>0</v>
      </c>
      <c r="AY169" s="5">
        <f t="shared" si="49"/>
        <v>5</v>
      </c>
      <c r="AZ169" s="5">
        <f t="shared" si="41"/>
        <v>0</v>
      </c>
    </row>
    <row r="170" spans="1:52" x14ac:dyDescent="0.3">
      <c r="A170" s="5" t="s">
        <v>52</v>
      </c>
      <c r="B170" s="5" t="s">
        <v>62</v>
      </c>
      <c r="C170" s="5" t="s">
        <v>54</v>
      </c>
      <c r="D170" s="5" t="s">
        <v>58</v>
      </c>
      <c r="E170" s="5" t="s">
        <v>55</v>
      </c>
      <c r="F170" s="5">
        <v>2</v>
      </c>
      <c r="G170" s="5">
        <v>0.04</v>
      </c>
      <c r="H170" s="5" t="b">
        <v>0</v>
      </c>
      <c r="I170" s="5" t="b">
        <v>0</v>
      </c>
      <c r="J170" s="5" t="b">
        <v>0</v>
      </c>
      <c r="K170" s="5">
        <v>2.9529999999999998</v>
      </c>
      <c r="L170" s="5">
        <v>5.1999999999999998E-2</v>
      </c>
      <c r="M170" s="5">
        <v>-5.8000000000000003E-2</v>
      </c>
      <c r="N170" s="5">
        <v>-442.30700000000002</v>
      </c>
      <c r="O170" s="5">
        <v>3.5999999999999997E-2</v>
      </c>
      <c r="P170" s="5">
        <v>5.0000000000000001E-3</v>
      </c>
      <c r="Q170" s="6">
        <v>1E-3</v>
      </c>
      <c r="R170" s="6">
        <v>0.18</v>
      </c>
      <c r="S170" s="7">
        <v>2183.636</v>
      </c>
      <c r="T170" s="5">
        <v>1838.375</v>
      </c>
      <c r="U170" s="5">
        <v>1.431</v>
      </c>
      <c r="V170" s="5">
        <v>2.3239999999999998</v>
      </c>
      <c r="W170" s="5">
        <v>1.331</v>
      </c>
      <c r="X170" s="5">
        <v>3.407</v>
      </c>
      <c r="Y170" s="5">
        <v>8.4949999999999992</v>
      </c>
      <c r="Z170" s="5">
        <v>5282</v>
      </c>
      <c r="AA170" s="5">
        <v>5270</v>
      </c>
      <c r="AB170" s="5">
        <v>5270</v>
      </c>
      <c r="AC170" s="5">
        <v>0.06</v>
      </c>
      <c r="AD170" s="5">
        <v>-0.08</v>
      </c>
      <c r="AE170" s="5">
        <v>-6.6000000000000003E-2</v>
      </c>
      <c r="AF170" s="5">
        <v>6.5100000000000002E-3</v>
      </c>
      <c r="AG170" s="5">
        <v>-0.13949</v>
      </c>
      <c r="AH170" s="5">
        <v>-0.02</v>
      </c>
      <c r="AI170" s="5">
        <v>0</v>
      </c>
      <c r="AJ170" s="5">
        <v>-7.1500000000000001E-3</v>
      </c>
      <c r="AK170" s="5">
        <v>-3.8899999999999998E-3</v>
      </c>
      <c r="AL170" s="5">
        <v>0</v>
      </c>
      <c r="AM170" s="5">
        <v>0</v>
      </c>
      <c r="AN170" s="5">
        <v>0.56399999999999995</v>
      </c>
      <c r="AO170" s="6">
        <f t="shared" si="37"/>
        <v>1.0022770398481973</v>
      </c>
      <c r="AP170" s="5">
        <f t="shared" si="38"/>
        <v>-12</v>
      </c>
      <c r="AQ170" s="8">
        <f t="shared" si="44"/>
        <v>-3.6923076923076927E-2</v>
      </c>
      <c r="AR170" s="6">
        <f t="shared" si="39"/>
        <v>1</v>
      </c>
      <c r="AS170" s="6">
        <f t="shared" si="40"/>
        <v>-4.063664070436844E-2</v>
      </c>
      <c r="AT170" s="6">
        <f t="shared" si="45"/>
        <v>9.3830331460038711E-3</v>
      </c>
      <c r="AU170" s="6">
        <f t="shared" si="42"/>
        <v>0.28677946659019493</v>
      </c>
      <c r="AV170" s="5">
        <f t="shared" si="46"/>
        <v>0</v>
      </c>
      <c r="AW170" s="5">
        <f t="shared" si="47"/>
        <v>0</v>
      </c>
      <c r="AX170" s="5">
        <f t="shared" si="48"/>
        <v>0</v>
      </c>
      <c r="AY170" s="5">
        <f t="shared" si="49"/>
        <v>5</v>
      </c>
      <c r="AZ170" s="5">
        <f t="shared" si="41"/>
        <v>0</v>
      </c>
    </row>
    <row r="171" spans="1:52" x14ac:dyDescent="0.3">
      <c r="A171" s="5" t="s">
        <v>52</v>
      </c>
      <c r="B171" s="5" t="s">
        <v>62</v>
      </c>
      <c r="C171" s="5" t="s">
        <v>54</v>
      </c>
      <c r="D171" s="5" t="s">
        <v>58</v>
      </c>
      <c r="E171" s="5" t="s">
        <v>55</v>
      </c>
      <c r="F171" s="5">
        <v>2</v>
      </c>
      <c r="G171" s="5">
        <v>0.04</v>
      </c>
      <c r="H171" s="5" t="b">
        <v>0</v>
      </c>
      <c r="I171" s="5" t="b">
        <v>0</v>
      </c>
      <c r="J171" s="5" t="b">
        <v>0</v>
      </c>
      <c r="K171" s="5">
        <v>2.9529999999999998</v>
      </c>
      <c r="L171" s="5">
        <v>5.1999999999999998E-2</v>
      </c>
      <c r="M171" s="5">
        <v>-5.8000000000000003E-2</v>
      </c>
      <c r="N171" s="5">
        <v>-61.942</v>
      </c>
      <c r="O171" s="5">
        <v>0.19400000000000001</v>
      </c>
      <c r="P171" s="5">
        <v>5.0000000000000001E-3</v>
      </c>
      <c r="Q171" s="6">
        <v>1E-3</v>
      </c>
      <c r="R171" s="6">
        <v>0.18</v>
      </c>
      <c r="S171" s="7">
        <v>2196.1410000000001</v>
      </c>
      <c r="T171" s="5">
        <v>1838.375</v>
      </c>
      <c r="U171" s="5">
        <v>1.9710000000000001</v>
      </c>
      <c r="V171" s="5">
        <v>2.3140000000000001</v>
      </c>
      <c r="W171" s="5">
        <v>1.528</v>
      </c>
      <c r="X171" s="5">
        <v>3.8340000000000001</v>
      </c>
      <c r="Y171" s="5">
        <v>9.6489999999999991</v>
      </c>
      <c r="Z171" s="5">
        <v>5279</v>
      </c>
      <c r="AA171" s="5">
        <v>5270</v>
      </c>
      <c r="AB171" s="5">
        <v>5270</v>
      </c>
      <c r="AC171" s="5">
        <v>0.06</v>
      </c>
      <c r="AD171" s="5">
        <v>-0.06</v>
      </c>
      <c r="AE171" s="5">
        <v>-7.3999999999999996E-2</v>
      </c>
      <c r="AF171" s="5">
        <v>3.4869999999999998E-2</v>
      </c>
      <c r="AG171" s="5">
        <v>-9.9129999999999996E-2</v>
      </c>
      <c r="AH171" s="5">
        <v>-0.12</v>
      </c>
      <c r="AI171" s="5">
        <v>-0.10589999999999999</v>
      </c>
      <c r="AJ171" s="5">
        <v>-8.4700000000000001E-3</v>
      </c>
      <c r="AK171" s="5">
        <v>-5.4400000000000004E-3</v>
      </c>
      <c r="AL171" s="5">
        <v>0</v>
      </c>
      <c r="AM171" s="5">
        <v>0</v>
      </c>
      <c r="AN171" s="5">
        <v>0.51300000000000001</v>
      </c>
      <c r="AO171" s="6">
        <f t="shared" si="37"/>
        <v>1.001707779886148</v>
      </c>
      <c r="AP171" s="5">
        <f t="shared" si="38"/>
        <v>-9</v>
      </c>
      <c r="AQ171" s="8">
        <f t="shared" si="44"/>
        <v>-2.7692307692307693E-2</v>
      </c>
      <c r="AR171" s="6">
        <f t="shared" si="39"/>
        <v>1</v>
      </c>
      <c r="AS171" s="6">
        <f t="shared" si="40"/>
        <v>-3.0477480528276327E-2</v>
      </c>
      <c r="AT171" s="6">
        <f t="shared" si="45"/>
        <v>0.10718324548104705</v>
      </c>
      <c r="AU171" s="6">
        <f t="shared" si="42"/>
        <v>0.23990403838464405</v>
      </c>
      <c r="AV171" s="5">
        <f t="shared" si="46"/>
        <v>0</v>
      </c>
      <c r="AW171" s="5">
        <f t="shared" si="47"/>
        <v>0</v>
      </c>
      <c r="AX171" s="5">
        <f t="shared" si="48"/>
        <v>0</v>
      </c>
      <c r="AY171" s="5">
        <f t="shared" si="49"/>
        <v>5</v>
      </c>
      <c r="AZ171" s="5">
        <f t="shared" si="41"/>
        <v>0</v>
      </c>
    </row>
    <row r="172" spans="1:52" x14ac:dyDescent="0.3">
      <c r="A172" s="5" t="s">
        <v>52</v>
      </c>
      <c r="B172" s="5" t="s">
        <v>62</v>
      </c>
      <c r="C172" s="5" t="s">
        <v>54</v>
      </c>
      <c r="D172" s="5" t="s">
        <v>58</v>
      </c>
      <c r="E172" s="5" t="s">
        <v>55</v>
      </c>
      <c r="F172" s="5">
        <v>2</v>
      </c>
      <c r="G172" s="5">
        <v>0.04</v>
      </c>
      <c r="H172" s="5" t="b">
        <v>0</v>
      </c>
      <c r="I172" s="5" t="b">
        <v>0</v>
      </c>
      <c r="J172" s="5" t="b">
        <v>0</v>
      </c>
      <c r="K172" s="5">
        <v>2.9529999999999998</v>
      </c>
      <c r="L172" s="5">
        <v>5.1999999999999998E-2</v>
      </c>
      <c r="M172" s="5">
        <v>-5.8000000000000003E-2</v>
      </c>
      <c r="N172" s="5">
        <v>-33.661000000000001</v>
      </c>
      <c r="O172" s="5">
        <v>0.26700000000000002</v>
      </c>
      <c r="P172" s="5">
        <v>5.0000000000000001E-3</v>
      </c>
      <c r="Q172" s="6">
        <v>1E-3</v>
      </c>
      <c r="R172" s="6">
        <v>0.18</v>
      </c>
      <c r="S172" s="7">
        <v>2209.9059999999999</v>
      </c>
      <c r="T172" s="5">
        <v>1838.375</v>
      </c>
      <c r="U172" s="5">
        <v>1.3620000000000001</v>
      </c>
      <c r="V172" s="5">
        <v>2.0059999999999998</v>
      </c>
      <c r="W172" s="5">
        <v>1.4</v>
      </c>
      <c r="X172" s="5">
        <v>3.3820000000000001</v>
      </c>
      <c r="Y172" s="5">
        <v>8.1519999999999992</v>
      </c>
      <c r="Z172" s="5">
        <v>5275</v>
      </c>
      <c r="AA172" s="5">
        <v>5270</v>
      </c>
      <c r="AB172" s="5">
        <v>5270</v>
      </c>
      <c r="AC172" s="5">
        <v>0.06</v>
      </c>
      <c r="AD172" s="5">
        <v>-4.4999999999999998E-2</v>
      </c>
      <c r="AE172" s="5">
        <v>-7.8E-2</v>
      </c>
      <c r="AF172" s="5">
        <v>4.8129999999999999E-2</v>
      </c>
      <c r="AG172" s="5">
        <v>-7.4870000000000006E-2</v>
      </c>
      <c r="AH172" s="5">
        <v>-0.24</v>
      </c>
      <c r="AI172" s="5">
        <v>-0.18371999999999999</v>
      </c>
      <c r="AJ172" s="5">
        <v>-5.6499999999999996E-3</v>
      </c>
      <c r="AK172" s="5">
        <v>-6.0200000000000002E-3</v>
      </c>
      <c r="AL172" s="5">
        <v>0</v>
      </c>
      <c r="AM172" s="5">
        <v>0</v>
      </c>
      <c r="AN172" s="5">
        <v>0.36</v>
      </c>
      <c r="AO172" s="6">
        <f t="shared" si="37"/>
        <v>1.0009487666034156</v>
      </c>
      <c r="AP172" s="5">
        <f t="shared" si="38"/>
        <v>-5</v>
      </c>
      <c r="AQ172" s="8">
        <f t="shared" si="44"/>
        <v>-1.5384615384615385E-2</v>
      </c>
      <c r="AR172" s="6">
        <f t="shared" si="39"/>
        <v>1</v>
      </c>
      <c r="AS172" s="6">
        <f t="shared" si="40"/>
        <v>-1.6931933626820182E-2</v>
      </c>
      <c r="AT172" s="6">
        <f t="shared" si="45"/>
        <v>0.17905209145513221</v>
      </c>
      <c r="AU172" s="6">
        <f t="shared" si="42"/>
        <v>0.29059208136578546</v>
      </c>
      <c r="AV172" s="5">
        <f t="shared" si="46"/>
        <v>0</v>
      </c>
      <c r="AW172" s="5">
        <f t="shared" si="47"/>
        <v>0</v>
      </c>
      <c r="AX172" s="5">
        <f t="shared" si="48"/>
        <v>0</v>
      </c>
      <c r="AY172" s="5">
        <f t="shared" si="49"/>
        <v>5</v>
      </c>
      <c r="AZ172" s="5">
        <f t="shared" si="41"/>
        <v>0</v>
      </c>
    </row>
    <row r="173" spans="1:52" x14ac:dyDescent="0.3">
      <c r="A173" s="5" t="s">
        <v>52</v>
      </c>
      <c r="B173" s="5" t="s">
        <v>62</v>
      </c>
      <c r="C173" s="5" t="s">
        <v>54</v>
      </c>
      <c r="D173" s="5" t="s">
        <v>58</v>
      </c>
      <c r="E173" s="5" t="s">
        <v>55</v>
      </c>
      <c r="F173" s="5">
        <v>2</v>
      </c>
      <c r="G173" s="5">
        <v>0.04</v>
      </c>
      <c r="H173" s="5" t="b">
        <v>0</v>
      </c>
      <c r="I173" s="5" t="b">
        <v>0</v>
      </c>
      <c r="J173" s="5" t="b">
        <v>0</v>
      </c>
      <c r="K173" s="5">
        <v>2.9529999999999998</v>
      </c>
      <c r="L173" s="5">
        <v>5.1999999999999998E-2</v>
      </c>
      <c r="M173" s="5">
        <v>-5.8000000000000003E-2</v>
      </c>
      <c r="N173" s="5">
        <v>-18.324999999999999</v>
      </c>
      <c r="O173" s="5">
        <v>0.27300000000000002</v>
      </c>
      <c r="P173" s="5">
        <v>5.0000000000000001E-3</v>
      </c>
      <c r="Q173" s="6">
        <v>1E-3</v>
      </c>
      <c r="R173" s="6">
        <v>0.18</v>
      </c>
      <c r="S173" s="7">
        <v>2222.2530000000002</v>
      </c>
      <c r="T173" s="5">
        <v>1838.375</v>
      </c>
      <c r="U173" s="5">
        <v>1.6639999999999999</v>
      </c>
      <c r="V173" s="5">
        <v>2.141</v>
      </c>
      <c r="W173" s="5">
        <v>1.3420000000000001</v>
      </c>
      <c r="X173" s="5">
        <v>3.2810000000000001</v>
      </c>
      <c r="Y173" s="5">
        <v>8.43</v>
      </c>
      <c r="Z173" s="5">
        <v>5272</v>
      </c>
      <c r="AA173" s="5">
        <v>5270</v>
      </c>
      <c r="AB173" s="5">
        <v>5270</v>
      </c>
      <c r="AC173" s="5">
        <v>0.06</v>
      </c>
      <c r="AD173" s="5">
        <v>-2.5000000000000001E-2</v>
      </c>
      <c r="AE173" s="5">
        <v>-7.3999999999999996E-2</v>
      </c>
      <c r="AF173" s="5">
        <v>4.9110000000000001E-2</v>
      </c>
      <c r="AG173" s="5">
        <v>-4.9889999999999997E-2</v>
      </c>
      <c r="AH173" s="5">
        <v>-0.26</v>
      </c>
      <c r="AI173" s="5">
        <v>-0.22939999999999999</v>
      </c>
      <c r="AJ173" s="5">
        <v>-3.7000000000000002E-3</v>
      </c>
      <c r="AK173" s="5">
        <v>-6.11E-3</v>
      </c>
      <c r="AL173" s="5">
        <v>0</v>
      </c>
      <c r="AM173" s="5">
        <v>0</v>
      </c>
      <c r="AN173" s="5">
        <v>0.17399999999999999</v>
      </c>
      <c r="AO173" s="6">
        <f t="shared" si="37"/>
        <v>1.0003795066413663</v>
      </c>
      <c r="AP173" s="5">
        <f t="shared" si="38"/>
        <v>-2</v>
      </c>
      <c r="AQ173" s="8">
        <f t="shared" si="44"/>
        <v>-6.1538461538461538E-3</v>
      </c>
      <c r="AR173" s="6">
        <f t="shared" si="39"/>
        <v>1</v>
      </c>
      <c r="AS173" s="6">
        <f t="shared" si="40"/>
        <v>-6.7727734507280731E-3</v>
      </c>
      <c r="AT173" s="6">
        <f t="shared" si="45"/>
        <v>0.22764689181149325</v>
      </c>
      <c r="AU173" s="6">
        <f t="shared" si="42"/>
        <v>0.24297400178180525</v>
      </c>
      <c r="AV173" s="5">
        <f t="shared" si="46"/>
        <v>0</v>
      </c>
      <c r="AW173" s="5">
        <f t="shared" si="47"/>
        <v>0</v>
      </c>
      <c r="AX173" s="5">
        <f t="shared" si="48"/>
        <v>0</v>
      </c>
      <c r="AY173" s="5">
        <f t="shared" si="49"/>
        <v>5</v>
      </c>
      <c r="AZ173" s="5">
        <f t="shared" si="41"/>
        <v>5</v>
      </c>
    </row>
    <row r="174" spans="1:52" x14ac:dyDescent="0.3">
      <c r="A174" s="5" t="s">
        <v>52</v>
      </c>
      <c r="B174" s="5" t="s">
        <v>62</v>
      </c>
      <c r="C174" s="5" t="s">
        <v>54</v>
      </c>
      <c r="D174" s="5" t="s">
        <v>58</v>
      </c>
      <c r="E174" s="5" t="s">
        <v>55</v>
      </c>
      <c r="F174" s="5">
        <v>2</v>
      </c>
      <c r="G174" s="5">
        <v>0.04</v>
      </c>
      <c r="H174" s="5" t="b">
        <v>0</v>
      </c>
      <c r="I174" s="5" t="b">
        <v>0</v>
      </c>
      <c r="J174" s="5" t="b">
        <v>0</v>
      </c>
      <c r="K174" s="5">
        <v>2.9529999999999998</v>
      </c>
      <c r="L174" s="5">
        <v>5.1999999999999998E-2</v>
      </c>
      <c r="M174" s="5">
        <v>-5.8000000000000003E-2</v>
      </c>
      <c r="N174" s="5">
        <v>-7.0970000000000004</v>
      </c>
      <c r="O174" s="5">
        <v>0.28199999999999997</v>
      </c>
      <c r="P174" s="5">
        <v>5.0000000000000001E-3</v>
      </c>
      <c r="Q174" s="6">
        <v>1E-3</v>
      </c>
      <c r="R174" s="6">
        <v>0.18</v>
      </c>
      <c r="S174" s="7">
        <v>2235.009</v>
      </c>
      <c r="T174" s="5">
        <v>1838.375</v>
      </c>
      <c r="U174" s="5">
        <v>1.847</v>
      </c>
      <c r="V174" s="5">
        <v>2.1269999999999998</v>
      </c>
      <c r="W174" s="5">
        <v>1.4410000000000001</v>
      </c>
      <c r="X174" s="5">
        <v>3.5830000000000002</v>
      </c>
      <c r="Y174" s="5">
        <v>9</v>
      </c>
      <c r="Z174" s="5">
        <v>5268</v>
      </c>
      <c r="AA174" s="5">
        <v>5270</v>
      </c>
      <c r="AB174" s="5">
        <v>5270</v>
      </c>
      <c r="AC174" s="5">
        <v>0.06</v>
      </c>
      <c r="AD174" s="5">
        <v>-0.01</v>
      </c>
      <c r="AE174" s="5">
        <v>-6.6000000000000003E-2</v>
      </c>
      <c r="AF174" s="5">
        <v>5.0729999999999997E-2</v>
      </c>
      <c r="AG174" s="5">
        <v>-2.5270000000000001E-2</v>
      </c>
      <c r="AH174" s="5">
        <v>-0.28000000000000003</v>
      </c>
      <c r="AI174" s="5">
        <v>-0.27556000000000003</v>
      </c>
      <c r="AJ174" s="5">
        <v>-3.62E-3</v>
      </c>
      <c r="AK174" s="5">
        <v>-5.7499999999999999E-3</v>
      </c>
      <c r="AL174" s="5">
        <v>0</v>
      </c>
      <c r="AM174" s="5">
        <v>0</v>
      </c>
      <c r="AN174" s="5">
        <v>0.13100000000000001</v>
      </c>
      <c r="AO174" s="6">
        <f t="shared" si="37"/>
        <v>0.99962049335863379</v>
      </c>
      <c r="AP174" s="5">
        <f t="shared" si="38"/>
        <v>2</v>
      </c>
      <c r="AQ174" s="8">
        <f t="shared" si="44"/>
        <v>6.1538461538461538E-3</v>
      </c>
      <c r="AR174" s="6">
        <f t="shared" si="39"/>
        <v>1</v>
      </c>
      <c r="AS174" s="6">
        <f t="shared" si="40"/>
        <v>6.7727734507280731E-3</v>
      </c>
      <c r="AT174" s="6">
        <f t="shared" si="45"/>
        <v>0.27476550244731512</v>
      </c>
      <c r="AU174" s="6">
        <f t="shared" si="42"/>
        <v>0.31357792411414587</v>
      </c>
      <c r="AV174" s="5">
        <f t="shared" si="46"/>
        <v>0</v>
      </c>
      <c r="AW174" s="5">
        <f t="shared" si="47"/>
        <v>0</v>
      </c>
      <c r="AX174" s="5">
        <f t="shared" si="48"/>
        <v>0</v>
      </c>
      <c r="AY174" s="5">
        <f t="shared" si="49"/>
        <v>5</v>
      </c>
      <c r="AZ174" s="5">
        <f t="shared" si="41"/>
        <v>5</v>
      </c>
    </row>
    <row r="175" spans="1:52" x14ac:dyDescent="0.3">
      <c r="A175" s="5" t="s">
        <v>52</v>
      </c>
      <c r="B175" s="5" t="s">
        <v>62</v>
      </c>
      <c r="C175" s="5" t="s">
        <v>54</v>
      </c>
      <c r="D175" s="5" t="s">
        <v>61</v>
      </c>
      <c r="E175" s="5" t="s">
        <v>55</v>
      </c>
      <c r="F175" s="5">
        <v>2</v>
      </c>
      <c r="G175" s="5">
        <v>0.04</v>
      </c>
      <c r="H175" s="5" t="b">
        <v>0</v>
      </c>
      <c r="I175" s="5" t="b">
        <v>0</v>
      </c>
      <c r="J175" s="5" t="b">
        <v>0</v>
      </c>
      <c r="K175" s="5">
        <v>2.9529999999999998</v>
      </c>
      <c r="L175" s="5">
        <v>5.1999999999999998E-2</v>
      </c>
      <c r="M175" s="5">
        <v>-5.8000000000000003E-2</v>
      </c>
      <c r="N175" s="5">
        <v>7.4379999999999997</v>
      </c>
      <c r="O175" s="5">
        <v>0.26900000000000002</v>
      </c>
      <c r="P175" s="5">
        <v>5.0000000000000001E-3</v>
      </c>
      <c r="Q175" s="6">
        <v>1E-3</v>
      </c>
      <c r="R175" s="6">
        <v>0.18</v>
      </c>
      <c r="S175" s="7">
        <v>2248.944</v>
      </c>
      <c r="T175" s="5">
        <v>1838.375</v>
      </c>
      <c r="U175" s="5">
        <v>2.2639999999999998</v>
      </c>
      <c r="V175" s="5">
        <v>1.99</v>
      </c>
      <c r="W175" s="5">
        <v>1.425</v>
      </c>
      <c r="X175" s="5">
        <v>3.77</v>
      </c>
      <c r="Y175" s="5">
        <v>9.4529999999999994</v>
      </c>
      <c r="Z175" s="5">
        <v>5265</v>
      </c>
      <c r="AA175" s="5">
        <v>5270</v>
      </c>
      <c r="AB175" s="5">
        <v>5270</v>
      </c>
      <c r="AC175" s="5">
        <v>0.06</v>
      </c>
      <c r="AD175" s="5">
        <v>0.01</v>
      </c>
      <c r="AE175" s="5">
        <v>-5.3999999999999999E-2</v>
      </c>
      <c r="AF175" s="5">
        <v>-4.8399999999999999E-2</v>
      </c>
      <c r="AG175" s="5">
        <v>-9.2399999999999996E-2</v>
      </c>
      <c r="AH175" s="5">
        <v>-0.26</v>
      </c>
      <c r="AI175" s="5">
        <v>-0.26030999999999999</v>
      </c>
      <c r="AJ175" s="5">
        <v>1.09E-3</v>
      </c>
      <c r="AK175" s="5">
        <v>-3.9899999999999996E-3</v>
      </c>
      <c r="AL175" s="5">
        <v>0</v>
      </c>
      <c r="AM175" s="5">
        <v>0</v>
      </c>
      <c r="AN175" s="5">
        <v>9.4E-2</v>
      </c>
      <c r="AO175" s="6">
        <f t="shared" si="37"/>
        <v>0.99905123339658441</v>
      </c>
      <c r="AP175" s="5">
        <f t="shared" si="38"/>
        <v>5</v>
      </c>
      <c r="AQ175" s="8">
        <f t="shared" si="44"/>
        <v>1.5384615384615385E-2</v>
      </c>
      <c r="AR175" s="6">
        <f t="shared" si="39"/>
        <v>1</v>
      </c>
      <c r="AS175" s="6">
        <f t="shared" si="40"/>
        <v>1.6931933626820182E-2</v>
      </c>
      <c r="AT175" s="6">
        <f t="shared" si="45"/>
        <v>0.26046665972131072</v>
      </c>
      <c r="AU175" s="6">
        <f t="shared" si="42"/>
        <v>0.21528525296017306</v>
      </c>
      <c r="AV175" s="5">
        <f t="shared" si="46"/>
        <v>0</v>
      </c>
      <c r="AW175" s="5">
        <f t="shared" si="47"/>
        <v>0</v>
      </c>
      <c r="AX175" s="5">
        <f t="shared" si="48"/>
        <v>0</v>
      </c>
      <c r="AY175" s="5">
        <f t="shared" si="49"/>
        <v>5</v>
      </c>
      <c r="AZ175" s="5">
        <f t="shared" si="41"/>
        <v>0</v>
      </c>
    </row>
    <row r="176" spans="1:52" x14ac:dyDescent="0.3">
      <c r="A176" s="5" t="s">
        <v>52</v>
      </c>
      <c r="B176" s="5" t="s">
        <v>62</v>
      </c>
      <c r="C176" s="5" t="s">
        <v>54</v>
      </c>
      <c r="D176" s="5" t="s">
        <v>61</v>
      </c>
      <c r="E176" s="5" t="s">
        <v>55</v>
      </c>
      <c r="F176" s="5">
        <v>2</v>
      </c>
      <c r="G176" s="5">
        <v>0.04</v>
      </c>
      <c r="H176" s="5" t="b">
        <v>0</v>
      </c>
      <c r="I176" s="5" t="b">
        <v>0</v>
      </c>
      <c r="J176" s="5" t="b">
        <v>0</v>
      </c>
      <c r="K176" s="5">
        <v>2.9529999999999998</v>
      </c>
      <c r="L176" s="5">
        <v>5.1999999999999998E-2</v>
      </c>
      <c r="M176" s="5">
        <v>-5.8000000000000003E-2</v>
      </c>
      <c r="N176" s="5">
        <v>19.661999999999999</v>
      </c>
      <c r="O176" s="5">
        <v>0.254</v>
      </c>
      <c r="P176" s="5">
        <v>5.0000000000000001E-3</v>
      </c>
      <c r="Q176" s="6">
        <v>1E-3</v>
      </c>
      <c r="R176" s="6">
        <v>0.18</v>
      </c>
      <c r="S176" s="7">
        <v>2262.8020000000001</v>
      </c>
      <c r="T176" s="5">
        <v>1838.375</v>
      </c>
      <c r="U176" s="5">
        <v>1.4690000000000001</v>
      </c>
      <c r="V176" s="5">
        <v>2.1080000000000001</v>
      </c>
      <c r="W176" s="5">
        <v>1.3109999999999999</v>
      </c>
      <c r="X176" s="5">
        <v>3.387</v>
      </c>
      <c r="Y176" s="5">
        <v>8.2769999999999992</v>
      </c>
      <c r="Z176" s="5">
        <v>5263</v>
      </c>
      <c r="AA176" s="5">
        <v>5270</v>
      </c>
      <c r="AB176" s="5">
        <v>5270</v>
      </c>
      <c r="AC176" s="5">
        <v>0.06</v>
      </c>
      <c r="AD176" s="5">
        <v>2.5000000000000001E-2</v>
      </c>
      <c r="AE176" s="5">
        <v>-3.9E-2</v>
      </c>
      <c r="AF176" s="5">
        <v>-4.5769999999999998E-2</v>
      </c>
      <c r="AG176" s="5">
        <v>-5.9769999999999997E-2</v>
      </c>
      <c r="AH176" s="5">
        <v>-0.22</v>
      </c>
      <c r="AI176" s="5">
        <v>-0.24002000000000001</v>
      </c>
      <c r="AJ176" s="5">
        <v>1.4599999999999999E-3</v>
      </c>
      <c r="AK176" s="5">
        <v>-2.0100000000000001E-3</v>
      </c>
      <c r="AL176" s="5">
        <v>0</v>
      </c>
      <c r="AM176" s="5">
        <v>0</v>
      </c>
      <c r="AN176" s="5">
        <v>0.17399999999999999</v>
      </c>
      <c r="AO176" s="6">
        <f t="shared" si="37"/>
        <v>0.9986717267552182</v>
      </c>
      <c r="AP176" s="5">
        <f t="shared" si="38"/>
        <v>7</v>
      </c>
      <c r="AQ176" s="8">
        <f t="shared" si="44"/>
        <v>2.1538461538461538E-2</v>
      </c>
      <c r="AR176" s="6">
        <f t="shared" si="39"/>
        <v>1</v>
      </c>
      <c r="AS176" s="6">
        <f t="shared" si="40"/>
        <v>2.3704707077548254E-2</v>
      </c>
      <c r="AT176" s="6">
        <f t="shared" si="45"/>
        <v>0.24135004601176502</v>
      </c>
      <c r="AU176" s="6">
        <f t="shared" si="42"/>
        <v>0.14432096983691547</v>
      </c>
      <c r="AV176" s="5">
        <f t="shared" si="46"/>
        <v>0</v>
      </c>
      <c r="AW176" s="5">
        <f t="shared" si="47"/>
        <v>0</v>
      </c>
      <c r="AX176" s="5">
        <f t="shared" si="48"/>
        <v>0</v>
      </c>
      <c r="AY176" s="5">
        <f t="shared" si="49"/>
        <v>5</v>
      </c>
      <c r="AZ176" s="5">
        <f t="shared" si="41"/>
        <v>0</v>
      </c>
    </row>
    <row r="177" spans="1:52" x14ac:dyDescent="0.3">
      <c r="A177" s="5" t="s">
        <v>52</v>
      </c>
      <c r="B177" s="5" t="s">
        <v>62</v>
      </c>
      <c r="C177" s="5" t="s">
        <v>54</v>
      </c>
      <c r="D177" s="5" t="s">
        <v>61</v>
      </c>
      <c r="E177" s="5" t="s">
        <v>55</v>
      </c>
      <c r="F177" s="5">
        <v>2</v>
      </c>
      <c r="G177" s="5">
        <v>0.04</v>
      </c>
      <c r="H177" s="5" t="b">
        <v>0</v>
      </c>
      <c r="I177" s="5" t="b">
        <v>0</v>
      </c>
      <c r="J177" s="5" t="b">
        <v>0</v>
      </c>
      <c r="K177" s="5">
        <v>2.9529999999999998</v>
      </c>
      <c r="L177" s="5">
        <v>5.1999999999999998E-2</v>
      </c>
      <c r="M177" s="5">
        <v>-5.8000000000000003E-2</v>
      </c>
      <c r="N177" s="5">
        <v>38.238999999999997</v>
      </c>
      <c r="O177" s="5">
        <v>0.183</v>
      </c>
      <c r="P177" s="5">
        <v>5.0000000000000001E-3</v>
      </c>
      <c r="Q177" s="6">
        <v>1E-3</v>
      </c>
      <c r="R177" s="6">
        <v>0.18</v>
      </c>
      <c r="S177" s="7">
        <v>2275.34</v>
      </c>
      <c r="T177" s="5">
        <v>1838.375</v>
      </c>
      <c r="U177" s="5">
        <v>1.5449999999999999</v>
      </c>
      <c r="V177" s="5">
        <v>2.0640000000000001</v>
      </c>
      <c r="W177" s="5">
        <v>1.3009999999999999</v>
      </c>
      <c r="X177" s="5">
        <v>3.2389999999999999</v>
      </c>
      <c r="Y177" s="5">
        <v>8.15</v>
      </c>
      <c r="Z177" s="5">
        <v>5260</v>
      </c>
      <c r="AA177" s="5">
        <v>5270</v>
      </c>
      <c r="AB177" s="5">
        <v>5270</v>
      </c>
      <c r="AC177" s="5">
        <v>0.06</v>
      </c>
      <c r="AD177" s="5">
        <v>3.5000000000000003E-2</v>
      </c>
      <c r="AE177" s="5">
        <v>-2.1999999999999999E-2</v>
      </c>
      <c r="AF177" s="5">
        <v>-3.295E-2</v>
      </c>
      <c r="AG177" s="5">
        <v>-1.9949999999999999E-2</v>
      </c>
      <c r="AH177" s="5">
        <v>-0.22</v>
      </c>
      <c r="AI177" s="5">
        <v>-0.22924</v>
      </c>
      <c r="AJ177" s="5">
        <v>8.5999999999999998E-4</v>
      </c>
      <c r="AK177" s="5">
        <v>-6.9999999999999999E-4</v>
      </c>
      <c r="AL177" s="5">
        <v>0</v>
      </c>
      <c r="AM177" s="5">
        <v>0</v>
      </c>
      <c r="AN177" s="5">
        <v>0.13400000000000001</v>
      </c>
      <c r="AO177" s="6">
        <f t="shared" si="37"/>
        <v>0.99810246679316883</v>
      </c>
      <c r="AP177" s="5">
        <f t="shared" si="38"/>
        <v>10</v>
      </c>
      <c r="AQ177" s="8">
        <f t="shared" si="44"/>
        <v>3.0769230769230771E-2</v>
      </c>
      <c r="AR177" s="6">
        <f t="shared" si="39"/>
        <v>1</v>
      </c>
      <c r="AS177" s="6">
        <f t="shared" si="40"/>
        <v>3.3863867253640365E-2</v>
      </c>
      <c r="AT177" s="6">
        <f t="shared" si="45"/>
        <v>0.23108615199096075</v>
      </c>
      <c r="AU177" s="6">
        <f t="shared" si="42"/>
        <v>0.23927261126176402</v>
      </c>
      <c r="AV177" s="5">
        <f t="shared" si="46"/>
        <v>0</v>
      </c>
      <c r="AW177" s="5">
        <f t="shared" si="47"/>
        <v>0</v>
      </c>
      <c r="AX177" s="5">
        <f t="shared" si="48"/>
        <v>0</v>
      </c>
      <c r="AY177" s="5">
        <f t="shared" si="49"/>
        <v>5</v>
      </c>
      <c r="AZ177" s="5">
        <f t="shared" si="41"/>
        <v>0</v>
      </c>
    </row>
    <row r="178" spans="1:52" x14ac:dyDescent="0.3">
      <c r="A178" s="5" t="s">
        <v>52</v>
      </c>
      <c r="B178" s="5" t="s">
        <v>62</v>
      </c>
      <c r="C178" s="5" t="s">
        <v>54</v>
      </c>
      <c r="D178" s="5" t="s">
        <v>61</v>
      </c>
      <c r="E178" s="5" t="s">
        <v>55</v>
      </c>
      <c r="F178" s="5">
        <v>2</v>
      </c>
      <c r="G178" s="5">
        <v>0.04</v>
      </c>
      <c r="H178" s="5" t="b">
        <v>0</v>
      </c>
      <c r="I178" s="5" t="b">
        <v>0</v>
      </c>
      <c r="J178" s="5" t="b">
        <v>0</v>
      </c>
      <c r="K178" s="5">
        <v>2.9529999999999998</v>
      </c>
      <c r="L178" s="5">
        <v>5.1999999999999998E-2</v>
      </c>
      <c r="M178" s="5">
        <v>-5.8000000000000003E-2</v>
      </c>
      <c r="N178" s="5">
        <v>50.058999999999997</v>
      </c>
      <c r="O178" s="5">
        <v>0.2</v>
      </c>
      <c r="P178" s="5">
        <v>5.0000000000000001E-3</v>
      </c>
      <c r="Q178" s="6">
        <v>1E-3</v>
      </c>
      <c r="R178" s="6">
        <v>0.18</v>
      </c>
      <c r="S178" s="7">
        <v>2287.5140000000001</v>
      </c>
      <c r="T178" s="5">
        <v>1838.375</v>
      </c>
      <c r="U178" s="5">
        <v>1.34</v>
      </c>
      <c r="V178" s="5">
        <v>2.101</v>
      </c>
      <c r="W178" s="5">
        <v>1.296</v>
      </c>
      <c r="X178" s="5">
        <v>3.1429999999999998</v>
      </c>
      <c r="Y178" s="5">
        <v>7.8819999999999997</v>
      </c>
      <c r="Z178" s="5">
        <v>5258</v>
      </c>
      <c r="AA178" s="5">
        <v>5270</v>
      </c>
      <c r="AB178" s="5">
        <v>5270</v>
      </c>
      <c r="AC178" s="5">
        <v>0.06</v>
      </c>
      <c r="AD178" s="5">
        <v>0.05</v>
      </c>
      <c r="AE178" s="5">
        <v>-2E-3</v>
      </c>
      <c r="AF178" s="5">
        <v>-3.5959999999999999E-2</v>
      </c>
      <c r="AG178" s="5">
        <v>1.204E-2</v>
      </c>
      <c r="AH178" s="5">
        <v>-0.18</v>
      </c>
      <c r="AI178" s="5">
        <v>-0.21453</v>
      </c>
      <c r="AJ178" s="5">
        <v>1.2099999999999999E-3</v>
      </c>
      <c r="AK178" s="5">
        <v>2.3000000000000001E-4</v>
      </c>
      <c r="AL178" s="5">
        <v>0</v>
      </c>
      <c r="AM178" s="5">
        <v>0</v>
      </c>
      <c r="AN178" s="5">
        <v>9.8000000000000004E-2</v>
      </c>
      <c r="AO178" s="6">
        <f t="shared" si="37"/>
        <v>0.99772296015180262</v>
      </c>
      <c r="AP178" s="5">
        <f t="shared" si="38"/>
        <v>12</v>
      </c>
      <c r="AQ178" s="8">
        <f t="shared" si="44"/>
        <v>3.6923076923076927E-2</v>
      </c>
      <c r="AR178" s="6">
        <f t="shared" si="39"/>
        <v>1</v>
      </c>
      <c r="AS178" s="6">
        <f t="shared" si="40"/>
        <v>4.063664070436844E-2</v>
      </c>
      <c r="AT178" s="6">
        <f t="shared" si="45"/>
        <v>0.21534825979954145</v>
      </c>
      <c r="AU178" s="6">
        <f t="shared" si="42"/>
        <v>0.1642845408247087</v>
      </c>
      <c r="AV178" s="5">
        <f t="shared" si="46"/>
        <v>0</v>
      </c>
      <c r="AW178" s="5">
        <f t="shared" si="47"/>
        <v>0</v>
      </c>
      <c r="AX178" s="5">
        <f t="shared" si="48"/>
        <v>0</v>
      </c>
      <c r="AY178" s="5">
        <f t="shared" si="49"/>
        <v>5</v>
      </c>
      <c r="AZ178" s="5">
        <f t="shared" si="41"/>
        <v>0</v>
      </c>
    </row>
    <row r="179" spans="1:52" x14ac:dyDescent="0.3">
      <c r="A179" s="5" t="s">
        <v>52</v>
      </c>
      <c r="B179" s="5" t="s">
        <v>62</v>
      </c>
      <c r="C179" s="5" t="s">
        <v>54</v>
      </c>
      <c r="D179" s="5" t="s">
        <v>61</v>
      </c>
      <c r="E179" s="5" t="s">
        <v>55</v>
      </c>
      <c r="F179" s="5">
        <v>2</v>
      </c>
      <c r="G179" s="5">
        <v>0.04</v>
      </c>
      <c r="H179" s="5" t="b">
        <v>0</v>
      </c>
      <c r="I179" s="5" t="b">
        <v>0</v>
      </c>
      <c r="J179" s="5" t="b">
        <v>0</v>
      </c>
      <c r="K179" s="5">
        <v>2.9529999999999998</v>
      </c>
      <c r="L179" s="5">
        <v>5.1999999999999998E-2</v>
      </c>
      <c r="M179" s="5">
        <v>-5.8000000000000003E-2</v>
      </c>
      <c r="N179" s="5">
        <v>58.561</v>
      </c>
      <c r="O179" s="5">
        <v>0.20499999999999999</v>
      </c>
      <c r="P179" s="5">
        <v>5.0000000000000001E-3</v>
      </c>
      <c r="Q179" s="6">
        <v>1E-3</v>
      </c>
      <c r="R179" s="6">
        <v>0.18</v>
      </c>
      <c r="S179" s="7">
        <v>2299.5259999999998</v>
      </c>
      <c r="T179" s="5">
        <v>1838.375</v>
      </c>
      <c r="U179" s="5">
        <v>1.361</v>
      </c>
      <c r="V179" s="5">
        <v>2.028</v>
      </c>
      <c r="W179" s="5">
        <v>1.395</v>
      </c>
      <c r="X179" s="5">
        <v>3.1779999999999999</v>
      </c>
      <c r="Y179" s="5">
        <v>7.9640000000000004</v>
      </c>
      <c r="Z179" s="5">
        <v>5257</v>
      </c>
      <c r="AA179" s="5">
        <v>5270</v>
      </c>
      <c r="AB179" s="5">
        <v>5270</v>
      </c>
      <c r="AC179" s="5">
        <v>0.06</v>
      </c>
      <c r="AD179" s="5">
        <v>0.06</v>
      </c>
      <c r="AE179" s="5">
        <v>1.7999999999999999E-2</v>
      </c>
      <c r="AF179" s="5">
        <v>-3.6880000000000003E-2</v>
      </c>
      <c r="AG179" s="5">
        <v>4.1119999999999997E-2</v>
      </c>
      <c r="AH179" s="5">
        <v>-0.16</v>
      </c>
      <c r="AI179" s="5">
        <v>-0.17050000000000001</v>
      </c>
      <c r="AJ179" s="5">
        <v>3.6700000000000001E-3</v>
      </c>
      <c r="AK179" s="5">
        <v>1.6299999999999999E-3</v>
      </c>
      <c r="AL179" s="5">
        <v>0</v>
      </c>
      <c r="AM179" s="5">
        <v>0</v>
      </c>
      <c r="AN179" s="5">
        <v>0.247</v>
      </c>
      <c r="AO179" s="6">
        <f t="shared" si="37"/>
        <v>0.99753320683111957</v>
      </c>
      <c r="AP179" s="5">
        <f t="shared" si="38"/>
        <v>13</v>
      </c>
      <c r="AQ179" s="8">
        <f t="shared" si="44"/>
        <v>0.04</v>
      </c>
      <c r="AR179" s="6">
        <f t="shared" si="39"/>
        <v>1</v>
      </c>
      <c r="AS179" s="6">
        <f t="shared" si="40"/>
        <v>4.4023027429732471E-2</v>
      </c>
      <c r="AT179" s="6">
        <f t="shared" si="45"/>
        <v>0.16928269162672929</v>
      </c>
      <c r="AU179" s="6">
        <f t="shared" si="42"/>
        <v>8.3250083250085219E-2</v>
      </c>
      <c r="AV179" s="5">
        <f t="shared" si="46"/>
        <v>0</v>
      </c>
      <c r="AW179" s="5">
        <f t="shared" si="47"/>
        <v>0</v>
      </c>
      <c r="AX179" s="5">
        <f t="shared" si="48"/>
        <v>0</v>
      </c>
      <c r="AY179" s="5">
        <f t="shared" si="49"/>
        <v>5</v>
      </c>
      <c r="AZ179" s="5">
        <f t="shared" si="41"/>
        <v>0</v>
      </c>
    </row>
    <row r="180" spans="1:52" x14ac:dyDescent="0.3">
      <c r="A180" s="5" t="s">
        <v>52</v>
      </c>
      <c r="B180" s="5" t="s">
        <v>62</v>
      </c>
      <c r="C180" s="5" t="s">
        <v>54</v>
      </c>
      <c r="D180" s="5" t="s">
        <v>61</v>
      </c>
      <c r="E180" s="5" t="s">
        <v>55</v>
      </c>
      <c r="F180" s="5">
        <v>2</v>
      </c>
      <c r="G180" s="5">
        <v>0.04</v>
      </c>
      <c r="H180" s="5" t="b">
        <v>0</v>
      </c>
      <c r="I180" s="5" t="b">
        <v>0</v>
      </c>
      <c r="J180" s="5" t="b">
        <v>0</v>
      </c>
      <c r="K180" s="5">
        <v>2.9529999999999998</v>
      </c>
      <c r="L180" s="5">
        <v>5.1999999999999998E-2</v>
      </c>
      <c r="M180" s="5">
        <v>-5.8000000000000003E-2</v>
      </c>
      <c r="N180" s="5">
        <v>103.732</v>
      </c>
      <c r="O180" s="5">
        <v>0.125</v>
      </c>
      <c r="P180" s="5">
        <v>5.0000000000000001E-3</v>
      </c>
      <c r="Q180" s="6">
        <v>1E-3</v>
      </c>
      <c r="R180" s="6">
        <v>0.18</v>
      </c>
      <c r="S180" s="7">
        <v>2311.4850000000001</v>
      </c>
      <c r="T180" s="5">
        <v>1838.375</v>
      </c>
      <c r="U180" s="5">
        <v>1.381</v>
      </c>
      <c r="V180" s="5">
        <v>2.04</v>
      </c>
      <c r="W180" s="5">
        <v>1.35</v>
      </c>
      <c r="X180" s="5">
        <v>3.153</v>
      </c>
      <c r="Y180" s="5">
        <v>7.9260000000000002</v>
      </c>
      <c r="Z180" s="5">
        <v>5257</v>
      </c>
      <c r="AA180" s="5">
        <v>5270</v>
      </c>
      <c r="AB180" s="5">
        <v>5270</v>
      </c>
      <c r="AC180" s="5">
        <v>0.06</v>
      </c>
      <c r="AD180" s="5">
        <v>6.5000000000000002E-2</v>
      </c>
      <c r="AE180" s="5">
        <v>3.6999999999999998E-2</v>
      </c>
      <c r="AF180" s="5">
        <v>-2.256E-2</v>
      </c>
      <c r="AG180" s="5">
        <v>7.9439999999999997E-2</v>
      </c>
      <c r="AH180" s="5">
        <v>-0.14000000000000001</v>
      </c>
      <c r="AI180" s="5">
        <v>-0.12792000000000001</v>
      </c>
      <c r="AJ180" s="5">
        <v>3.5599999999999998E-3</v>
      </c>
      <c r="AK180" s="5">
        <v>2.1199999999999999E-3</v>
      </c>
      <c r="AL180" s="5">
        <v>0</v>
      </c>
      <c r="AM180" s="5">
        <v>0</v>
      </c>
      <c r="AN180" s="5">
        <v>0.32</v>
      </c>
      <c r="AO180" s="6">
        <f t="shared" si="37"/>
        <v>0.99753320683111957</v>
      </c>
      <c r="AP180" s="5">
        <f t="shared" si="38"/>
        <v>13</v>
      </c>
      <c r="AQ180" s="8">
        <f t="shared" si="44"/>
        <v>0.04</v>
      </c>
      <c r="AR180" s="6">
        <f t="shared" si="39"/>
        <v>1</v>
      </c>
      <c r="AS180" s="6">
        <f t="shared" si="40"/>
        <v>4.4023027429732471E-2</v>
      </c>
      <c r="AT180" s="6">
        <f t="shared" si="45"/>
        <v>0.12622564103469466</v>
      </c>
      <c r="AU180" s="6">
        <f t="shared" si="42"/>
        <v>0</v>
      </c>
      <c r="AV180" s="5">
        <f t="shared" si="46"/>
        <v>0</v>
      </c>
      <c r="AW180" s="5">
        <f t="shared" si="47"/>
        <v>0</v>
      </c>
      <c r="AX180" s="5">
        <f t="shared" si="48"/>
        <v>0</v>
      </c>
      <c r="AY180" s="5">
        <f t="shared" si="49"/>
        <v>5</v>
      </c>
      <c r="AZ180" s="5">
        <f t="shared" si="41"/>
        <v>0</v>
      </c>
    </row>
    <row r="181" spans="1:52" x14ac:dyDescent="0.3">
      <c r="A181" s="5" t="s">
        <v>52</v>
      </c>
      <c r="B181" s="5" t="s">
        <v>62</v>
      </c>
      <c r="C181" s="5" t="s">
        <v>54</v>
      </c>
      <c r="D181" s="5" t="s">
        <v>61</v>
      </c>
      <c r="E181" s="5" t="s">
        <v>55</v>
      </c>
      <c r="F181" s="5">
        <v>2</v>
      </c>
      <c r="G181" s="5">
        <v>0.04</v>
      </c>
      <c r="H181" s="5" t="b">
        <v>0</v>
      </c>
      <c r="I181" s="5" t="b">
        <v>0</v>
      </c>
      <c r="J181" s="5" t="b">
        <v>0</v>
      </c>
      <c r="K181" s="5">
        <v>2.9529999999999998</v>
      </c>
      <c r="L181" s="5">
        <v>5.1999999999999998E-2</v>
      </c>
      <c r="M181" s="5">
        <v>-5.8000000000000003E-2</v>
      </c>
      <c r="N181" s="5">
        <v>314.50400000000002</v>
      </c>
      <c r="O181" s="5">
        <v>4.1000000000000002E-2</v>
      </c>
      <c r="P181" s="5">
        <v>5.0000000000000001E-3</v>
      </c>
      <c r="Q181" s="6">
        <v>1E-3</v>
      </c>
      <c r="R181" s="6">
        <v>0.18</v>
      </c>
      <c r="S181" s="7">
        <v>2323.509</v>
      </c>
      <c r="T181" s="5">
        <v>1838.375</v>
      </c>
      <c r="U181" s="5">
        <v>1.379</v>
      </c>
      <c r="V181" s="5">
        <v>2.0529999999999999</v>
      </c>
      <c r="W181" s="5">
        <v>1.28</v>
      </c>
      <c r="X181" s="5">
        <v>3.2080000000000002</v>
      </c>
      <c r="Y181" s="5">
        <v>7.9219999999999997</v>
      </c>
      <c r="Z181" s="5">
        <v>5258</v>
      </c>
      <c r="AA181" s="5">
        <v>5270</v>
      </c>
      <c r="AB181" s="5">
        <v>5270</v>
      </c>
      <c r="AC181" s="5">
        <v>0.06</v>
      </c>
      <c r="AD181" s="5">
        <v>6.5000000000000002E-2</v>
      </c>
      <c r="AE181" s="5">
        <v>5.1999999999999998E-2</v>
      </c>
      <c r="AF181" s="5">
        <v>-7.4400000000000004E-3</v>
      </c>
      <c r="AG181" s="5">
        <v>0.10956</v>
      </c>
      <c r="AH181" s="5">
        <v>-0.1</v>
      </c>
      <c r="AI181" s="5">
        <v>-8.2360000000000003E-2</v>
      </c>
      <c r="AJ181" s="5">
        <v>3.79E-3</v>
      </c>
      <c r="AK181" s="5">
        <v>2.5999999999999999E-3</v>
      </c>
      <c r="AL181" s="5">
        <v>0</v>
      </c>
      <c r="AM181" s="5">
        <v>0</v>
      </c>
      <c r="AN181" s="5">
        <v>0.36399999999999999</v>
      </c>
      <c r="AO181" s="6">
        <f t="shared" si="37"/>
        <v>0.99772296015180262</v>
      </c>
      <c r="AP181" s="5">
        <f t="shared" si="38"/>
        <v>12</v>
      </c>
      <c r="AQ181" s="8">
        <f t="shared" si="44"/>
        <v>3.6923076923076927E-2</v>
      </c>
      <c r="AR181" s="6">
        <f t="shared" si="39"/>
        <v>1</v>
      </c>
      <c r="AS181" s="6">
        <f t="shared" si="40"/>
        <v>4.063664070436844E-2</v>
      </c>
      <c r="AT181" s="6">
        <f t="shared" si="45"/>
        <v>8.0728047200378628E-2</v>
      </c>
      <c r="AU181" s="6">
        <f t="shared" si="42"/>
        <v>-8.3166999334664787E-2</v>
      </c>
      <c r="AV181" s="5">
        <f t="shared" si="46"/>
        <v>0</v>
      </c>
      <c r="AW181" s="5">
        <f t="shared" si="47"/>
        <v>0</v>
      </c>
      <c r="AX181" s="5">
        <f t="shared" si="48"/>
        <v>0</v>
      </c>
      <c r="AY181" s="5">
        <f t="shared" si="49"/>
        <v>5</v>
      </c>
      <c r="AZ181" s="5">
        <f t="shared" si="41"/>
        <v>0</v>
      </c>
    </row>
    <row r="182" spans="1:52" x14ac:dyDescent="0.3">
      <c r="A182" s="5" t="s">
        <v>52</v>
      </c>
      <c r="B182" s="5" t="s">
        <v>62</v>
      </c>
      <c r="C182" s="5" t="s">
        <v>54</v>
      </c>
      <c r="D182" s="5" t="s">
        <v>58</v>
      </c>
      <c r="E182" s="5" t="s">
        <v>55</v>
      </c>
      <c r="F182" s="5">
        <v>2</v>
      </c>
      <c r="G182" s="5">
        <v>0.04</v>
      </c>
      <c r="H182" s="5" t="b">
        <v>0</v>
      </c>
      <c r="I182" s="5" t="b">
        <v>0</v>
      </c>
      <c r="J182" s="5" t="b">
        <v>0</v>
      </c>
      <c r="K182" s="5">
        <v>2.9529999999999998</v>
      </c>
      <c r="L182" s="5">
        <v>5.1999999999999998E-2</v>
      </c>
      <c r="M182" s="5">
        <v>-5.8000000000000003E-2</v>
      </c>
      <c r="N182" s="5">
        <v>-288.49799999999999</v>
      </c>
      <c r="O182" s="5">
        <v>-4.2000000000000003E-2</v>
      </c>
      <c r="P182" s="5">
        <v>5.0000000000000001E-3</v>
      </c>
      <c r="Q182" s="6">
        <v>1E-3</v>
      </c>
      <c r="R182" s="6">
        <v>0.18</v>
      </c>
      <c r="S182" s="7">
        <v>2335.5059999999999</v>
      </c>
      <c r="T182" s="5">
        <v>1838.375</v>
      </c>
      <c r="U182" s="5">
        <v>1.4710000000000001</v>
      </c>
      <c r="V182" s="5">
        <v>1.998</v>
      </c>
      <c r="W182" s="5">
        <v>1.28</v>
      </c>
      <c r="X182" s="5">
        <v>3.206</v>
      </c>
      <c r="Y182" s="5">
        <v>7.9569999999999999</v>
      </c>
      <c r="Z182" s="5">
        <v>5259</v>
      </c>
      <c r="AA182" s="5">
        <v>5270</v>
      </c>
      <c r="AB182" s="5">
        <v>5270</v>
      </c>
      <c r="AC182" s="5">
        <v>0.06</v>
      </c>
      <c r="AD182" s="5">
        <v>0.06</v>
      </c>
      <c r="AE182" s="5">
        <v>6.4000000000000001E-2</v>
      </c>
      <c r="AF182" s="5">
        <v>-7.4900000000000001E-3</v>
      </c>
      <c r="AG182" s="5">
        <v>0.11651</v>
      </c>
      <c r="AH182" s="5">
        <v>-0.04</v>
      </c>
      <c r="AI182" s="5">
        <v>-1.6619999999999999E-2</v>
      </c>
      <c r="AJ182" s="5">
        <v>5.4799999999999996E-3</v>
      </c>
      <c r="AK182" s="5">
        <v>3.5300000000000002E-3</v>
      </c>
      <c r="AL182" s="5">
        <v>0</v>
      </c>
      <c r="AM182" s="5">
        <v>0</v>
      </c>
      <c r="AN182" s="5">
        <v>0.45500000000000002</v>
      </c>
      <c r="AO182" s="6">
        <f t="shared" si="37"/>
        <v>0.99791271347248578</v>
      </c>
      <c r="AP182" s="5">
        <f t="shared" si="38"/>
        <v>11</v>
      </c>
      <c r="AQ182" s="8">
        <f t="shared" si="44"/>
        <v>3.3846153846153845E-2</v>
      </c>
      <c r="AR182" s="6">
        <f t="shared" si="39"/>
        <v>1</v>
      </c>
      <c r="AS182" s="6">
        <f t="shared" si="40"/>
        <v>3.7250253979004402E-2</v>
      </c>
      <c r="AT182" s="6">
        <f t="shared" si="45"/>
        <v>1.6202690572765129E-2</v>
      </c>
      <c r="AU182" s="6">
        <f t="shared" si="42"/>
        <v>-8.3354171876303493E-2</v>
      </c>
      <c r="AV182" s="5">
        <f t="shared" si="46"/>
        <v>0</v>
      </c>
      <c r="AW182" s="5">
        <f t="shared" si="47"/>
        <v>0</v>
      </c>
      <c r="AX182" s="5">
        <f t="shared" si="48"/>
        <v>0</v>
      </c>
      <c r="AY182" s="5">
        <f t="shared" si="49"/>
        <v>5</v>
      </c>
      <c r="AZ182" s="5">
        <f t="shared" si="41"/>
        <v>0</v>
      </c>
    </row>
    <row r="183" spans="1:52" x14ac:dyDescent="0.3">
      <c r="A183" s="5" t="s">
        <v>52</v>
      </c>
      <c r="B183" s="5" t="s">
        <v>62</v>
      </c>
      <c r="C183" s="5" t="s">
        <v>54</v>
      </c>
      <c r="D183" s="5" t="s">
        <v>58</v>
      </c>
      <c r="E183" s="5" t="s">
        <v>55</v>
      </c>
      <c r="F183" s="5">
        <v>2</v>
      </c>
      <c r="G183" s="5">
        <v>0.04</v>
      </c>
      <c r="H183" s="5" t="b">
        <v>0</v>
      </c>
      <c r="I183" s="5" t="b">
        <v>0</v>
      </c>
      <c r="J183" s="5" t="b">
        <v>0</v>
      </c>
      <c r="K183" s="5">
        <v>2.9529999999999998</v>
      </c>
      <c r="L183" s="5">
        <v>5.1999999999999998E-2</v>
      </c>
      <c r="M183" s="5">
        <v>-5.8000000000000003E-2</v>
      </c>
      <c r="N183" s="5">
        <v>-132.28800000000001</v>
      </c>
      <c r="O183" s="5">
        <v>-8.3000000000000004E-2</v>
      </c>
      <c r="P183" s="5">
        <v>5.0000000000000001E-3</v>
      </c>
      <c r="Q183" s="6">
        <v>1E-3</v>
      </c>
      <c r="R183" s="6">
        <v>0.18</v>
      </c>
      <c r="S183" s="7">
        <v>2347.5450000000001</v>
      </c>
      <c r="T183" s="5">
        <v>1838.375</v>
      </c>
      <c r="U183" s="5">
        <v>1.383</v>
      </c>
      <c r="V183" s="5">
        <v>2.1070000000000002</v>
      </c>
      <c r="W183" s="5">
        <v>1.2849999999999999</v>
      </c>
      <c r="X183" s="5">
        <v>3.17</v>
      </c>
      <c r="Y183" s="5">
        <v>7.9480000000000004</v>
      </c>
      <c r="Z183" s="5">
        <v>5261</v>
      </c>
      <c r="AA183" s="5">
        <v>5270</v>
      </c>
      <c r="AB183" s="5">
        <v>5270</v>
      </c>
      <c r="AC183" s="5">
        <v>0.06</v>
      </c>
      <c r="AD183" s="5">
        <v>5.5E-2</v>
      </c>
      <c r="AE183" s="5">
        <v>7.1999999999999995E-2</v>
      </c>
      <c r="AF183" s="5">
        <v>-1.4970000000000001E-2</v>
      </c>
      <c r="AG183" s="5">
        <v>0.11203</v>
      </c>
      <c r="AH183" s="5">
        <v>0.08</v>
      </c>
      <c r="AI183" s="5">
        <v>4.9970000000000001E-2</v>
      </c>
      <c r="AJ183" s="5">
        <v>5.5300000000000002E-3</v>
      </c>
      <c r="AK183" s="5">
        <v>4.4099999999999999E-3</v>
      </c>
      <c r="AL183" s="5">
        <v>0</v>
      </c>
      <c r="AM183" s="5">
        <v>0</v>
      </c>
      <c r="AN183" s="5">
        <v>0.45500000000000002</v>
      </c>
      <c r="AO183" s="6">
        <f t="shared" si="37"/>
        <v>0.99829222011385199</v>
      </c>
      <c r="AP183" s="5">
        <f t="shared" si="38"/>
        <v>9</v>
      </c>
      <c r="AQ183" s="8">
        <f t="shared" si="44"/>
        <v>2.7692307692307693E-2</v>
      </c>
      <c r="AR183" s="6">
        <f t="shared" si="39"/>
        <v>1</v>
      </c>
      <c r="AS183" s="6">
        <f t="shared" si="40"/>
        <v>3.0477480528276327E-2</v>
      </c>
      <c r="AT183" s="6">
        <f t="shared" si="45"/>
        <v>-4.9879568534945351E-2</v>
      </c>
      <c r="AU183" s="6">
        <f t="shared" si="42"/>
        <v>-0.16612675471384369</v>
      </c>
      <c r="AV183" s="5">
        <f t="shared" si="46"/>
        <v>0</v>
      </c>
      <c r="AW183" s="5">
        <f t="shared" si="47"/>
        <v>0</v>
      </c>
      <c r="AX183" s="5">
        <f t="shared" si="48"/>
        <v>0</v>
      </c>
      <c r="AY183" s="5">
        <f t="shared" si="49"/>
        <v>5</v>
      </c>
      <c r="AZ183" s="5">
        <f t="shared" si="41"/>
        <v>0</v>
      </c>
    </row>
    <row r="184" spans="1:52" x14ac:dyDescent="0.3">
      <c r="A184" s="5" t="s">
        <v>52</v>
      </c>
      <c r="B184" s="5" t="s">
        <v>62</v>
      </c>
      <c r="C184" s="5" t="s">
        <v>54</v>
      </c>
      <c r="D184" s="5" t="s">
        <v>58</v>
      </c>
      <c r="E184" s="5" t="s">
        <v>55</v>
      </c>
      <c r="F184" s="5">
        <v>2</v>
      </c>
      <c r="G184" s="5">
        <v>0.04</v>
      </c>
      <c r="H184" s="5" t="b">
        <v>0</v>
      </c>
      <c r="I184" s="5" t="b">
        <v>0</v>
      </c>
      <c r="J184" s="5" t="b">
        <v>0</v>
      </c>
      <c r="K184" s="5">
        <v>2.9529999999999998</v>
      </c>
      <c r="L184" s="5">
        <v>5.1999999999999998E-2</v>
      </c>
      <c r="M184" s="5">
        <v>-5.8000000000000003E-2</v>
      </c>
      <c r="N184" s="5">
        <v>-72.227999999999994</v>
      </c>
      <c r="O184" s="5">
        <v>-0.125</v>
      </c>
      <c r="P184" s="5">
        <v>5.0000000000000001E-3</v>
      </c>
      <c r="Q184" s="6">
        <v>1E-3</v>
      </c>
      <c r="R184" s="6">
        <v>0.18</v>
      </c>
      <c r="S184" s="7">
        <v>2359.6280000000002</v>
      </c>
      <c r="T184" s="5">
        <v>1838.375</v>
      </c>
      <c r="U184" s="5">
        <v>1.2989999999999999</v>
      </c>
      <c r="V184" s="5">
        <v>2.0190000000000001</v>
      </c>
      <c r="W184" s="5">
        <v>1.39</v>
      </c>
      <c r="X184" s="5">
        <v>3.1960000000000002</v>
      </c>
      <c r="Y184" s="5">
        <v>7.9050000000000002</v>
      </c>
      <c r="Z184" s="5">
        <v>5264</v>
      </c>
      <c r="AA184" s="5">
        <v>5270</v>
      </c>
      <c r="AB184" s="5">
        <v>5270</v>
      </c>
      <c r="AC184" s="5">
        <v>0.06</v>
      </c>
      <c r="AD184" s="5">
        <v>4.4999999999999998E-2</v>
      </c>
      <c r="AE184" s="5">
        <v>7.5999999999999998E-2</v>
      </c>
      <c r="AF184" s="5">
        <v>-2.2429999999999999E-2</v>
      </c>
      <c r="AG184" s="5">
        <v>9.8570000000000005E-2</v>
      </c>
      <c r="AH184" s="5">
        <v>0.12</v>
      </c>
      <c r="AI184" s="5">
        <v>0.11647</v>
      </c>
      <c r="AJ184" s="5">
        <v>5.4999999999999997E-3</v>
      </c>
      <c r="AK184" s="5">
        <v>4.7699999999999999E-3</v>
      </c>
      <c r="AL184" s="5">
        <v>0</v>
      </c>
      <c r="AM184" s="5">
        <v>0</v>
      </c>
      <c r="AN184" s="5">
        <v>0.379</v>
      </c>
      <c r="AO184" s="6">
        <f t="shared" si="37"/>
        <v>0.99886148007590136</v>
      </c>
      <c r="AP184" s="5">
        <f t="shared" si="38"/>
        <v>6</v>
      </c>
      <c r="AQ184" s="8">
        <f t="shared" si="44"/>
        <v>1.8461538461538463E-2</v>
      </c>
      <c r="AR184" s="6">
        <f t="shared" si="39"/>
        <v>1</v>
      </c>
      <c r="AS184" s="6">
        <f t="shared" si="40"/>
        <v>2.031832035218422E-2</v>
      </c>
      <c r="AT184" s="6">
        <f t="shared" si="45"/>
        <v>-0.11618612743440342</v>
      </c>
      <c r="AU184" s="6">
        <f t="shared" si="42"/>
        <v>-0.24828271124720511</v>
      </c>
      <c r="AV184" s="5">
        <f t="shared" si="46"/>
        <v>0</v>
      </c>
      <c r="AW184" s="5">
        <f t="shared" si="47"/>
        <v>0</v>
      </c>
      <c r="AX184" s="5">
        <f t="shared" si="48"/>
        <v>0</v>
      </c>
      <c r="AY184" s="5">
        <f t="shared" si="49"/>
        <v>5</v>
      </c>
      <c r="AZ184" s="5">
        <f t="shared" si="41"/>
        <v>0</v>
      </c>
    </row>
    <row r="185" spans="1:52" x14ac:dyDescent="0.3">
      <c r="A185" s="5" t="s">
        <v>52</v>
      </c>
      <c r="B185" s="5" t="s">
        <v>62</v>
      </c>
      <c r="C185" s="5" t="s">
        <v>54</v>
      </c>
      <c r="D185" s="5" t="s">
        <v>58</v>
      </c>
      <c r="E185" s="5" t="s">
        <v>55</v>
      </c>
      <c r="F185" s="5">
        <v>2</v>
      </c>
      <c r="G185" s="5">
        <v>0.04</v>
      </c>
      <c r="H185" s="5" t="b">
        <v>0</v>
      </c>
      <c r="I185" s="5" t="b">
        <v>0</v>
      </c>
      <c r="J185" s="5" t="b">
        <v>0</v>
      </c>
      <c r="K185" s="5">
        <v>2.9529999999999998</v>
      </c>
      <c r="L185" s="5">
        <v>5.1999999999999998E-2</v>
      </c>
      <c r="M185" s="5">
        <v>-5.8000000000000003E-2</v>
      </c>
      <c r="N185" s="5">
        <v>-28.885000000000002</v>
      </c>
      <c r="O185" s="5">
        <v>-0.20799999999999999</v>
      </c>
      <c r="P185" s="5">
        <v>5.0000000000000001E-3</v>
      </c>
      <c r="Q185" s="6">
        <v>1E-3</v>
      </c>
      <c r="R185" s="6">
        <v>0.18</v>
      </c>
      <c r="S185" s="7">
        <v>2372.9279999999999</v>
      </c>
      <c r="T185" s="5">
        <v>1838.375</v>
      </c>
      <c r="U185" s="5">
        <v>1.3939999999999999</v>
      </c>
      <c r="V185" s="5">
        <v>2.097</v>
      </c>
      <c r="W185" s="5">
        <v>1.298</v>
      </c>
      <c r="X185" s="5">
        <v>3.125</v>
      </c>
      <c r="Y185" s="5">
        <v>7.9160000000000004</v>
      </c>
      <c r="Z185" s="5">
        <v>5267</v>
      </c>
      <c r="AA185" s="5">
        <v>5270</v>
      </c>
      <c r="AB185" s="5">
        <v>5270</v>
      </c>
      <c r="AC185" s="5">
        <v>0.06</v>
      </c>
      <c r="AD185" s="5">
        <v>0.03</v>
      </c>
      <c r="AE185" s="5">
        <v>7.4999999999999997E-2</v>
      </c>
      <c r="AF185" s="5">
        <v>-3.739E-2</v>
      </c>
      <c r="AG185" s="5">
        <v>6.7610000000000003E-2</v>
      </c>
      <c r="AH185" s="5">
        <v>0.18</v>
      </c>
      <c r="AI185" s="5">
        <v>0.16275000000000001</v>
      </c>
      <c r="AJ185" s="5">
        <v>3.48E-3</v>
      </c>
      <c r="AK185" s="5">
        <v>4.7299999999999998E-3</v>
      </c>
      <c r="AL185" s="5">
        <v>0</v>
      </c>
      <c r="AM185" s="5">
        <v>0</v>
      </c>
      <c r="AN185" s="5">
        <v>0.24</v>
      </c>
      <c r="AO185" s="6">
        <f t="shared" si="37"/>
        <v>0.99943074003795063</v>
      </c>
      <c r="AP185" s="5">
        <f t="shared" si="38"/>
        <v>3</v>
      </c>
      <c r="AQ185" s="8">
        <f t="shared" si="44"/>
        <v>9.2307692307692316E-3</v>
      </c>
      <c r="AR185" s="6">
        <f t="shared" si="39"/>
        <v>1</v>
      </c>
      <c r="AS185" s="6">
        <f t="shared" si="40"/>
        <v>1.015916017609211E-2</v>
      </c>
      <c r="AT185" s="6">
        <f t="shared" si="45"/>
        <v>-0.16129890938929156</v>
      </c>
      <c r="AU185" s="6">
        <f t="shared" si="42"/>
        <v>-0.22556390977444071</v>
      </c>
      <c r="AV185" s="5">
        <f t="shared" si="46"/>
        <v>0</v>
      </c>
      <c r="AW185" s="5">
        <f t="shared" si="47"/>
        <v>0</v>
      </c>
      <c r="AX185" s="5">
        <f t="shared" si="48"/>
        <v>0</v>
      </c>
      <c r="AY185" s="5">
        <f t="shared" si="49"/>
        <v>5</v>
      </c>
      <c r="AZ185" s="5">
        <f t="shared" si="41"/>
        <v>5</v>
      </c>
    </row>
    <row r="186" spans="1:52" x14ac:dyDescent="0.3">
      <c r="A186" s="5" t="s">
        <v>63</v>
      </c>
      <c r="B186" s="5" t="s">
        <v>62</v>
      </c>
      <c r="C186" s="5" t="s">
        <v>54</v>
      </c>
      <c r="D186" s="5" t="s">
        <v>58</v>
      </c>
      <c r="E186" s="5" t="s">
        <v>55</v>
      </c>
      <c r="F186" s="5">
        <v>2</v>
      </c>
      <c r="G186" s="5">
        <v>0.04</v>
      </c>
      <c r="H186" s="5" t="b">
        <v>0</v>
      </c>
      <c r="I186" s="5" t="b">
        <v>1</v>
      </c>
      <c r="J186" s="5" t="b">
        <v>0</v>
      </c>
      <c r="K186" s="5">
        <v>2.9529999999999998</v>
      </c>
      <c r="L186" s="5">
        <v>5.1999999999999998E-2</v>
      </c>
      <c r="M186" s="5">
        <v>-5.8000000000000003E-2</v>
      </c>
      <c r="N186" s="5">
        <v>-12.638</v>
      </c>
      <c r="O186" s="5">
        <v>-0.23699999999999999</v>
      </c>
      <c r="P186" s="5">
        <v>5.0000000000000001E-3</v>
      </c>
      <c r="Q186" s="6">
        <v>1E-3</v>
      </c>
      <c r="R186" s="6">
        <v>0.18</v>
      </c>
      <c r="S186" s="7">
        <v>2385</v>
      </c>
      <c r="T186" s="5">
        <v>1838.375</v>
      </c>
      <c r="U186" s="5">
        <v>1.4390000000000001</v>
      </c>
      <c r="V186" s="5">
        <v>2.0779999999999998</v>
      </c>
      <c r="W186" s="5">
        <v>1.417</v>
      </c>
      <c r="X186" s="5">
        <v>3.2519999999999998</v>
      </c>
      <c r="Y186" s="5">
        <v>8.1890000000000001</v>
      </c>
      <c r="Z186" s="5">
        <v>5270</v>
      </c>
      <c r="AA186" s="5">
        <v>5270</v>
      </c>
      <c r="AB186" s="5">
        <v>5270</v>
      </c>
      <c r="AC186" s="5">
        <v>0.06</v>
      </c>
      <c r="AD186" s="5">
        <v>1.4999999999999999E-2</v>
      </c>
      <c r="AE186" s="5">
        <v>6.8000000000000005E-2</v>
      </c>
      <c r="AF186" s="5">
        <v>-4.2729999999999997E-2</v>
      </c>
      <c r="AG186" s="5">
        <v>4.027E-2</v>
      </c>
      <c r="AH186" s="5">
        <v>0.2</v>
      </c>
      <c r="AI186" s="5">
        <v>0.19514999999999999</v>
      </c>
      <c r="AJ186" s="5">
        <v>2.6800000000000001E-3</v>
      </c>
      <c r="AK186" s="5">
        <v>4.5100000000000001E-3</v>
      </c>
      <c r="AL186" s="5">
        <v>0</v>
      </c>
      <c r="AM186" s="5">
        <v>0</v>
      </c>
      <c r="AN186" s="5">
        <v>0.14199999999999999</v>
      </c>
      <c r="AO186" s="6">
        <f t="shared" si="37"/>
        <v>1</v>
      </c>
      <c r="AP186" s="5">
        <f t="shared" si="38"/>
        <v>0</v>
      </c>
      <c r="AQ186" s="8">
        <f t="shared" si="44"/>
        <v>0</v>
      </c>
      <c r="AR186" s="6">
        <f t="shared" si="39"/>
        <v>1</v>
      </c>
      <c r="AS186" s="6">
        <f t="shared" si="40"/>
        <v>0</v>
      </c>
      <c r="AT186" s="6">
        <f t="shared" si="45"/>
        <v>-0.19436729878677167</v>
      </c>
      <c r="AU186" s="6">
        <f t="shared" si="42"/>
        <v>-0.24850894632206519</v>
      </c>
      <c r="AV186" s="5">
        <f t="shared" si="46"/>
        <v>0</v>
      </c>
      <c r="AW186" s="5">
        <f t="shared" si="47"/>
        <v>0</v>
      </c>
      <c r="AX186" s="5">
        <f t="shared" si="48"/>
        <v>0</v>
      </c>
      <c r="AY186" s="5">
        <f t="shared" si="49"/>
        <v>5</v>
      </c>
      <c r="AZ186" s="5">
        <f t="shared" si="41"/>
        <v>5</v>
      </c>
    </row>
    <row r="187" spans="1:52" x14ac:dyDescent="0.3">
      <c r="A187" s="5" t="s">
        <v>52</v>
      </c>
      <c r="B187" s="5" t="s">
        <v>62</v>
      </c>
      <c r="C187" s="5" t="s">
        <v>54</v>
      </c>
      <c r="D187" s="5" t="s">
        <v>58</v>
      </c>
      <c r="E187" s="5" t="s">
        <v>55</v>
      </c>
      <c r="F187" s="5">
        <v>2</v>
      </c>
      <c r="G187" s="5">
        <v>0.04</v>
      </c>
      <c r="H187" s="5" t="b">
        <v>0</v>
      </c>
      <c r="I187" s="5" t="b">
        <v>1</v>
      </c>
      <c r="J187" s="5" t="b">
        <v>0</v>
      </c>
      <c r="K187" s="5">
        <v>2.9529999999999998</v>
      </c>
      <c r="L187" s="5">
        <v>5.1999999999999998E-2</v>
      </c>
      <c r="M187" s="5">
        <v>-5.8000000000000003E-2</v>
      </c>
      <c r="N187" s="5">
        <v>0</v>
      </c>
      <c r="O187" s="5">
        <v>-0.23400000000000001</v>
      </c>
      <c r="P187" s="5">
        <v>5.0000000000000001E-3</v>
      </c>
      <c r="Q187" s="6">
        <v>1E-3</v>
      </c>
      <c r="R187" s="6">
        <v>0.18</v>
      </c>
      <c r="S187" s="7">
        <v>2399.4389999999999</v>
      </c>
      <c r="T187" s="5">
        <v>1838.375</v>
      </c>
      <c r="U187" s="5">
        <v>1.4019999999999999</v>
      </c>
      <c r="V187" s="5">
        <v>2.2010000000000001</v>
      </c>
      <c r="W187" s="5">
        <v>1.766</v>
      </c>
      <c r="X187" s="5">
        <v>3.2120000000000002</v>
      </c>
      <c r="Y187" s="5">
        <v>8.5820000000000007</v>
      </c>
      <c r="Z187" s="5">
        <v>5273</v>
      </c>
      <c r="AA187" s="5">
        <v>5270</v>
      </c>
      <c r="AB187" s="5">
        <v>5270</v>
      </c>
      <c r="AC187" s="5">
        <v>0.06</v>
      </c>
      <c r="AD187" s="5">
        <v>0</v>
      </c>
      <c r="AE187" s="5">
        <v>5.8000000000000003E-2</v>
      </c>
      <c r="AF187" s="5">
        <v>-4.215E-2</v>
      </c>
      <c r="AG187" s="5">
        <v>1.585E-2</v>
      </c>
      <c r="AH187" s="5">
        <v>0.24</v>
      </c>
      <c r="AI187" s="5">
        <v>0.21898000000000001</v>
      </c>
      <c r="AJ187" s="5">
        <v>1.65E-3</v>
      </c>
      <c r="AK187" s="5">
        <v>3.6900000000000001E-3</v>
      </c>
      <c r="AL187" s="5">
        <v>0</v>
      </c>
      <c r="AM187" s="5">
        <v>0</v>
      </c>
      <c r="AN187" s="5">
        <v>7.5999999999999998E-2</v>
      </c>
      <c r="AO187" s="6">
        <f t="shared" si="37"/>
        <v>1.0005692599620493</v>
      </c>
      <c r="AP187" s="5">
        <f t="shared" si="38"/>
        <v>-3</v>
      </c>
      <c r="AQ187" s="8">
        <f t="shared" ref="AQ187:AQ188" si="50">AP187/MAX(AP:AP)</f>
        <v>-9.2307692307692316E-3</v>
      </c>
      <c r="AR187" s="6">
        <f t="shared" si="39"/>
        <v>1</v>
      </c>
      <c r="AS187" s="6">
        <f t="shared" si="40"/>
        <v>-1.015916017609211E-2</v>
      </c>
      <c r="AT187" s="6">
        <f t="shared" ref="AT187:AT188" si="51">AVERAGE(AU183:AU187)</f>
        <v>-0.21925058865834285</v>
      </c>
      <c r="AU187" s="6">
        <f t="shared" si="42"/>
        <v>-0.20777062123415962</v>
      </c>
      <c r="AV187" s="5">
        <f t="shared" ref="AV187:AV188" si="52">IF(B187="ACCELERATION",5,0)</f>
        <v>0</v>
      </c>
      <c r="AW187" s="5">
        <f t="shared" ref="AW187:AW188" si="53">IF(B187="CRUISING",5,0)</f>
        <v>0</v>
      </c>
      <c r="AX187" s="5">
        <f t="shared" ref="AX187:AX188" si="54">IF(B187="DECELERATION",5,0)</f>
        <v>0</v>
      </c>
      <c r="AY187" s="5">
        <f t="shared" ref="AY187:AY188" si="55">IF(B187="END",5,0)</f>
        <v>5</v>
      </c>
      <c r="AZ187" s="5">
        <f t="shared" si="41"/>
        <v>5</v>
      </c>
    </row>
    <row r="188" spans="1:52" x14ac:dyDescent="0.3">
      <c r="A188" s="5" t="s">
        <v>52</v>
      </c>
      <c r="B188" s="5" t="s">
        <v>62</v>
      </c>
      <c r="C188" s="5" t="s">
        <v>54</v>
      </c>
      <c r="D188" s="5" t="s">
        <v>61</v>
      </c>
      <c r="E188" s="5" t="s">
        <v>55</v>
      </c>
      <c r="F188" s="5">
        <v>2</v>
      </c>
      <c r="G188" s="5">
        <v>0.04</v>
      </c>
      <c r="H188" s="5" t="b">
        <v>0</v>
      </c>
      <c r="I188" s="5" t="b">
        <v>1</v>
      </c>
      <c r="J188" s="5" t="b">
        <v>0</v>
      </c>
      <c r="K188" s="5">
        <v>2.9529999999999998</v>
      </c>
      <c r="L188" s="5">
        <v>5.1999999999999998E-2</v>
      </c>
      <c r="M188" s="5">
        <v>-5.8000000000000003E-2</v>
      </c>
      <c r="N188" s="5">
        <v>13.476000000000001</v>
      </c>
      <c r="O188" s="5">
        <v>-0.223</v>
      </c>
      <c r="P188" s="5">
        <v>5.0000000000000001E-3</v>
      </c>
      <c r="Q188" s="6">
        <v>1E-3</v>
      </c>
      <c r="R188" s="6">
        <v>0.18</v>
      </c>
      <c r="S188" s="7">
        <v>2413.3229999999999</v>
      </c>
      <c r="T188" s="5">
        <v>1838.375</v>
      </c>
      <c r="U188" s="5">
        <v>1.51</v>
      </c>
      <c r="V188" s="5">
        <v>2.101</v>
      </c>
      <c r="W188" s="5">
        <v>1.3</v>
      </c>
      <c r="X188" s="5">
        <v>3.2989999999999999</v>
      </c>
      <c r="Y188" s="5">
        <v>8.2119999999999997</v>
      </c>
      <c r="Z188" s="5">
        <v>5275</v>
      </c>
      <c r="AA188" s="5">
        <v>5270</v>
      </c>
      <c r="AB188" s="5">
        <v>5270</v>
      </c>
      <c r="AC188" s="5">
        <v>0.06</v>
      </c>
      <c r="AD188" s="5">
        <v>-1.4999999999999999E-2</v>
      </c>
      <c r="AE188" s="5">
        <v>4.4999999999999998E-2</v>
      </c>
      <c r="AF188" s="5">
        <v>4.0070000000000001E-2</v>
      </c>
      <c r="AG188" s="5">
        <v>7.0069999999999993E-2</v>
      </c>
      <c r="AH188" s="5">
        <v>0.24</v>
      </c>
      <c r="AI188" s="5">
        <v>0.21284</v>
      </c>
      <c r="AJ188" s="5">
        <v>-4.4000000000000002E-4</v>
      </c>
      <c r="AK188" s="5">
        <v>2.48E-3</v>
      </c>
      <c r="AL188" s="5">
        <v>0</v>
      </c>
      <c r="AM188" s="5">
        <v>0</v>
      </c>
      <c r="AN188" s="5">
        <v>3.2000000000000001E-2</v>
      </c>
      <c r="AO188" s="6">
        <f t="shared" si="37"/>
        <v>1.0009487666034156</v>
      </c>
      <c r="AP188" s="5">
        <f t="shared" si="38"/>
        <v>-5</v>
      </c>
      <c r="AQ188" s="8">
        <f t="shared" si="50"/>
        <v>-1.5384615384615385E-2</v>
      </c>
      <c r="AR188" s="6">
        <f t="shared" si="39"/>
        <v>1</v>
      </c>
      <c r="AS188" s="6">
        <f t="shared" si="40"/>
        <v>-1.6931933626820182E-2</v>
      </c>
      <c r="AT188" s="6">
        <f t="shared" si="51"/>
        <v>-0.21483537888526585</v>
      </c>
      <c r="AU188" s="6">
        <f t="shared" si="42"/>
        <v>-0.1440507058484585</v>
      </c>
      <c r="AV188" s="5">
        <f t="shared" si="52"/>
        <v>0</v>
      </c>
      <c r="AW188" s="5">
        <f t="shared" si="53"/>
        <v>0</v>
      </c>
      <c r="AX188" s="5">
        <f t="shared" si="54"/>
        <v>0</v>
      </c>
      <c r="AY188" s="5">
        <f t="shared" si="55"/>
        <v>5</v>
      </c>
      <c r="AZ188" s="5">
        <f t="shared" si="41"/>
        <v>0</v>
      </c>
    </row>
    <row r="189" spans="1:52" x14ac:dyDescent="0.3">
      <c r="A189" s="5" t="s">
        <v>52</v>
      </c>
      <c r="B189" s="5" t="s">
        <v>62</v>
      </c>
      <c r="C189" s="5" t="s">
        <v>54</v>
      </c>
      <c r="D189" s="5" t="s">
        <v>61</v>
      </c>
      <c r="E189" s="5" t="s">
        <v>55</v>
      </c>
      <c r="F189" s="5">
        <v>2</v>
      </c>
      <c r="G189" s="5">
        <v>0.04</v>
      </c>
      <c r="H189" s="5" t="b">
        <v>0</v>
      </c>
      <c r="I189" s="5" t="b">
        <v>1</v>
      </c>
      <c r="J189" s="5" t="b">
        <v>0</v>
      </c>
      <c r="K189" s="5">
        <v>2.9529999999999998</v>
      </c>
      <c r="L189" s="5">
        <v>5.1999999999999998E-2</v>
      </c>
      <c r="M189" s="5">
        <v>-5.8000000000000003E-2</v>
      </c>
      <c r="N189" s="5">
        <v>28.545999999999999</v>
      </c>
      <c r="O189" s="5">
        <v>-0.17499999999999999</v>
      </c>
      <c r="P189" s="5">
        <v>5.0000000000000001E-3</v>
      </c>
      <c r="Q189" s="6">
        <v>1E-3</v>
      </c>
      <c r="R189" s="6">
        <v>0.18</v>
      </c>
      <c r="S189" s="7">
        <v>2425.6469999999999</v>
      </c>
      <c r="T189" s="5">
        <v>1838.375</v>
      </c>
      <c r="U189" s="5">
        <v>2.056</v>
      </c>
      <c r="V189" s="5">
        <v>2.5609999999999999</v>
      </c>
      <c r="W189" s="5">
        <v>1.9930000000000001</v>
      </c>
      <c r="X189" s="5">
        <v>3.5750000000000002</v>
      </c>
      <c r="Y189" s="5">
        <v>10.186999999999999</v>
      </c>
      <c r="Z189" s="5">
        <v>5277</v>
      </c>
      <c r="AA189" s="5">
        <v>5270</v>
      </c>
      <c r="AB189" s="5">
        <v>5270</v>
      </c>
      <c r="AC189" s="5">
        <v>0.06</v>
      </c>
      <c r="AD189" s="5">
        <v>-2.5000000000000001E-2</v>
      </c>
      <c r="AE189" s="5">
        <v>0.03</v>
      </c>
      <c r="AF189" s="5">
        <v>3.1530000000000002E-2</v>
      </c>
      <c r="AG189" s="5">
        <v>3.653E-2</v>
      </c>
      <c r="AH189" s="5">
        <v>0.2</v>
      </c>
      <c r="AI189" s="5">
        <v>0.19691</v>
      </c>
      <c r="AJ189" s="5">
        <v>-1.2899999999999999E-3</v>
      </c>
      <c r="AK189" s="5">
        <v>1.2199999999999999E-3</v>
      </c>
      <c r="AL189" s="5">
        <v>0</v>
      </c>
      <c r="AM189" s="5">
        <v>0</v>
      </c>
      <c r="AN189" s="5">
        <v>8.3000000000000004E-2</v>
      </c>
      <c r="AO189" s="6">
        <f t="shared" ref="AO189:AO198" si="56">Z189/AA189</f>
        <v>1.0013282732447817</v>
      </c>
      <c r="AP189" s="5">
        <f t="shared" ref="AP189:AP198" si="57">AB189-Z189</f>
        <v>-7</v>
      </c>
      <c r="AQ189" s="8">
        <f t="shared" ref="AQ189:AQ198" si="58">AP189/MAX(AP:AP)</f>
        <v>-2.1538461538461538E-2</v>
      </c>
      <c r="AR189" s="6">
        <f t="shared" ref="AR189:AR198" si="59">AB189/AA189</f>
        <v>1</v>
      </c>
      <c r="AS189" s="6">
        <f t="shared" ref="AS189:AS198" si="60">AP189/(100*K189)</f>
        <v>-2.3704707077548254E-2</v>
      </c>
      <c r="AT189" s="6">
        <f t="shared" ref="AT189:AT198" si="61">AVERAGE(AU185:AU189)</f>
        <v>-0.19763583111813557</v>
      </c>
      <c r="AU189" s="6">
        <f t="shared" ref="AU189:AU198" si="62">(AP189-AP188)/(S189-S188)</f>
        <v>-0.16228497241155379</v>
      </c>
      <c r="AV189" s="5">
        <f t="shared" ref="AV189:AV198" si="63">IF(B189="ACCELERATION",5,0)</f>
        <v>0</v>
      </c>
      <c r="AW189" s="5">
        <f t="shared" ref="AW189:AW198" si="64">IF(B189="CRUISING",5,0)</f>
        <v>0</v>
      </c>
      <c r="AX189" s="5">
        <f t="shared" ref="AX189:AX198" si="65">IF(B189="DECELERATION",5,0)</f>
        <v>0</v>
      </c>
      <c r="AY189" s="5">
        <f t="shared" ref="AY189:AY198" si="66">IF(B189="END",5,0)</f>
        <v>5</v>
      </c>
      <c r="AZ189" s="5">
        <f t="shared" ref="AZ189:AZ198" si="67">IF(ABS(Z189-AA189)&lt;5,5,0)</f>
        <v>0</v>
      </c>
    </row>
    <row r="190" spans="1:52" x14ac:dyDescent="0.3">
      <c r="A190" s="5" t="s">
        <v>52</v>
      </c>
      <c r="B190" s="5" t="s">
        <v>62</v>
      </c>
      <c r="C190" s="5" t="s">
        <v>54</v>
      </c>
      <c r="D190" s="5" t="s">
        <v>61</v>
      </c>
      <c r="E190" s="5" t="s">
        <v>55</v>
      </c>
      <c r="F190" s="5">
        <v>2</v>
      </c>
      <c r="G190" s="5">
        <v>0.04</v>
      </c>
      <c r="H190" s="5" t="b">
        <v>0</v>
      </c>
      <c r="I190" s="5" t="b">
        <v>1</v>
      </c>
      <c r="J190" s="5" t="b">
        <v>0</v>
      </c>
      <c r="K190" s="5">
        <v>2.9529999999999998</v>
      </c>
      <c r="L190" s="5">
        <v>5.1999999999999998E-2</v>
      </c>
      <c r="M190" s="5">
        <v>-5.8000000000000003E-2</v>
      </c>
      <c r="N190" s="5">
        <v>48.633000000000003</v>
      </c>
      <c r="O190" s="5">
        <v>-0.14399999999999999</v>
      </c>
      <c r="P190" s="5">
        <v>5.0000000000000001E-3</v>
      </c>
      <c r="Q190" s="6">
        <v>1E-3</v>
      </c>
      <c r="R190" s="6">
        <v>0.18</v>
      </c>
      <c r="S190" s="7">
        <v>2443.2640000000001</v>
      </c>
      <c r="T190" s="5">
        <v>1838.375</v>
      </c>
      <c r="U190" s="5">
        <v>2.4180000000000001</v>
      </c>
      <c r="V190" s="5">
        <v>2.0760000000000001</v>
      </c>
      <c r="W190" s="5">
        <v>1.5609999999999999</v>
      </c>
      <c r="X190" s="5">
        <v>3.6469999999999998</v>
      </c>
      <c r="Y190" s="5">
        <v>9.7029999999999994</v>
      </c>
      <c r="Z190" s="5">
        <v>5280</v>
      </c>
      <c r="AA190" s="5">
        <v>5270</v>
      </c>
      <c r="AB190" s="5">
        <v>5270</v>
      </c>
      <c r="AC190" s="5">
        <v>0.06</v>
      </c>
      <c r="AD190" s="5">
        <v>-3.5000000000000003E-2</v>
      </c>
      <c r="AE190" s="5">
        <v>1.2999999999999999E-2</v>
      </c>
      <c r="AF190" s="5">
        <v>2.5909999999999999E-2</v>
      </c>
      <c r="AG190" s="5">
        <v>3.9100000000000003E-3</v>
      </c>
      <c r="AH190" s="5">
        <v>0.16</v>
      </c>
      <c r="AI190" s="5">
        <v>0.18482999999999999</v>
      </c>
      <c r="AJ190" s="5">
        <v>-6.8999999999999997E-4</v>
      </c>
      <c r="AK190" s="5">
        <v>3.1E-4</v>
      </c>
      <c r="AL190" s="5">
        <v>0</v>
      </c>
      <c r="AM190" s="5">
        <v>0</v>
      </c>
      <c r="AN190" s="5">
        <v>3.2000000000000001E-2</v>
      </c>
      <c r="AO190" s="6">
        <f t="shared" si="56"/>
        <v>1.0018975332068312</v>
      </c>
      <c r="AP190" s="5">
        <f t="shared" si="57"/>
        <v>-10</v>
      </c>
      <c r="AQ190" s="8">
        <f t="shared" si="58"/>
        <v>-3.0769230769230771E-2</v>
      </c>
      <c r="AR190" s="6">
        <f t="shared" si="59"/>
        <v>1</v>
      </c>
      <c r="AS190" s="6">
        <f t="shared" si="60"/>
        <v>-3.3863867253640365E-2</v>
      </c>
      <c r="AT190" s="6">
        <f t="shared" si="61"/>
        <v>-0.18658106131060473</v>
      </c>
      <c r="AU190" s="6">
        <f t="shared" si="62"/>
        <v>-0.17029006073678651</v>
      </c>
      <c r="AV190" s="5">
        <f t="shared" si="63"/>
        <v>0</v>
      </c>
      <c r="AW190" s="5">
        <f t="shared" si="64"/>
        <v>0</v>
      </c>
      <c r="AX190" s="5">
        <f t="shared" si="65"/>
        <v>0</v>
      </c>
      <c r="AY190" s="5">
        <f t="shared" si="66"/>
        <v>5</v>
      </c>
      <c r="AZ190" s="5">
        <f t="shared" si="67"/>
        <v>0</v>
      </c>
    </row>
    <row r="191" spans="1:52" x14ac:dyDescent="0.3">
      <c r="A191" s="5" t="s">
        <v>52</v>
      </c>
      <c r="B191" s="5" t="s">
        <v>62</v>
      </c>
      <c r="C191" s="5" t="s">
        <v>54</v>
      </c>
      <c r="D191" s="5" t="s">
        <v>61</v>
      </c>
      <c r="E191" s="5" t="s">
        <v>55</v>
      </c>
      <c r="F191" s="5">
        <v>2</v>
      </c>
      <c r="G191" s="5">
        <v>0.04</v>
      </c>
      <c r="H191" s="5" t="b">
        <v>0</v>
      </c>
      <c r="I191" s="5" t="b">
        <v>1</v>
      </c>
      <c r="J191" s="5" t="b">
        <v>0</v>
      </c>
      <c r="K191" s="5">
        <v>2.9529999999999998</v>
      </c>
      <c r="L191" s="5">
        <v>5.1999999999999998E-2</v>
      </c>
      <c r="M191" s="5">
        <v>-5.8000000000000003E-2</v>
      </c>
      <c r="N191" s="5">
        <v>63.494999999999997</v>
      </c>
      <c r="O191" s="5">
        <v>-0.157</v>
      </c>
      <c r="P191" s="5">
        <v>5.0000000000000001E-3</v>
      </c>
      <c r="Q191" s="6">
        <v>1E-3</v>
      </c>
      <c r="R191" s="6">
        <v>0.18</v>
      </c>
      <c r="S191" s="7">
        <v>2457.7890000000002</v>
      </c>
      <c r="T191" s="5">
        <v>1838.375</v>
      </c>
      <c r="U191" s="5">
        <v>1.373</v>
      </c>
      <c r="V191" s="5">
        <v>2.0449999999999999</v>
      </c>
      <c r="W191" s="5">
        <v>1.29</v>
      </c>
      <c r="X191" s="5">
        <v>3.1880000000000002</v>
      </c>
      <c r="Y191" s="5">
        <v>7.8979999999999997</v>
      </c>
      <c r="Z191" s="5">
        <v>5281</v>
      </c>
      <c r="AA191" s="5">
        <v>5270</v>
      </c>
      <c r="AB191" s="5">
        <v>5270</v>
      </c>
      <c r="AC191" s="5">
        <v>0.06</v>
      </c>
      <c r="AD191" s="5">
        <v>-0.05</v>
      </c>
      <c r="AE191" s="5">
        <v>-7.0000000000000001E-3</v>
      </c>
      <c r="AF191" s="5">
        <v>2.835E-2</v>
      </c>
      <c r="AG191" s="5">
        <v>-2.8649999999999998E-2</v>
      </c>
      <c r="AH191" s="5">
        <v>0.12</v>
      </c>
      <c r="AI191" s="5">
        <v>0.15112</v>
      </c>
      <c r="AJ191" s="5">
        <v>-2.32E-3</v>
      </c>
      <c r="AK191" s="5">
        <v>-5.9999999999999995E-4</v>
      </c>
      <c r="AL191" s="5">
        <v>0</v>
      </c>
      <c r="AM191" s="5">
        <v>0</v>
      </c>
      <c r="AN191" s="5">
        <v>2.1000000000000001E-2</v>
      </c>
      <c r="AO191" s="6">
        <f t="shared" si="56"/>
        <v>1.0020872865275143</v>
      </c>
      <c r="AP191" s="5">
        <f t="shared" si="57"/>
        <v>-11</v>
      </c>
      <c r="AQ191" s="8">
        <f t="shared" si="58"/>
        <v>-3.3846153846153845E-2</v>
      </c>
      <c r="AR191" s="6">
        <f t="shared" si="59"/>
        <v>1</v>
      </c>
      <c r="AS191" s="6">
        <f t="shared" si="60"/>
        <v>-3.7250253979004402E-2</v>
      </c>
      <c r="AT191" s="6">
        <f t="shared" si="61"/>
        <v>-0.15064863521314514</v>
      </c>
      <c r="AU191" s="6">
        <f t="shared" si="62"/>
        <v>-6.8846815834767205E-2</v>
      </c>
      <c r="AV191" s="5">
        <f t="shared" si="63"/>
        <v>0</v>
      </c>
      <c r="AW191" s="5">
        <f t="shared" si="64"/>
        <v>0</v>
      </c>
      <c r="AX191" s="5">
        <f t="shared" si="65"/>
        <v>0</v>
      </c>
      <c r="AY191" s="5">
        <f t="shared" si="66"/>
        <v>5</v>
      </c>
      <c r="AZ191" s="5">
        <f t="shared" si="67"/>
        <v>0</v>
      </c>
    </row>
    <row r="192" spans="1:52" x14ac:dyDescent="0.3">
      <c r="A192" s="5" t="s">
        <v>52</v>
      </c>
      <c r="B192" s="5" t="s">
        <v>62</v>
      </c>
      <c r="C192" s="5" t="s">
        <v>54</v>
      </c>
      <c r="D192" s="5" t="s">
        <v>61</v>
      </c>
      <c r="E192" s="5" t="s">
        <v>55</v>
      </c>
      <c r="F192" s="5">
        <v>2</v>
      </c>
      <c r="G192" s="5">
        <v>0.04</v>
      </c>
      <c r="H192" s="5" t="b">
        <v>0</v>
      </c>
      <c r="I192" s="5" t="b">
        <v>1</v>
      </c>
      <c r="J192" s="5" t="b">
        <v>0</v>
      </c>
      <c r="K192" s="5">
        <v>2.9529999999999998</v>
      </c>
      <c r="L192" s="5">
        <v>5.1999999999999998E-2</v>
      </c>
      <c r="M192" s="5">
        <v>-5.8000000000000003E-2</v>
      </c>
      <c r="N192" s="5">
        <v>86.7</v>
      </c>
      <c r="O192" s="5">
        <v>-0.127</v>
      </c>
      <c r="P192" s="5">
        <v>5.0000000000000001E-3</v>
      </c>
      <c r="Q192" s="6">
        <v>1E-3</v>
      </c>
      <c r="R192" s="6">
        <v>0.18</v>
      </c>
      <c r="S192" s="7">
        <v>2469.3389999999999</v>
      </c>
      <c r="T192" s="5">
        <v>1838.375</v>
      </c>
      <c r="U192" s="5">
        <v>1.375</v>
      </c>
      <c r="V192" s="5">
        <v>2.077</v>
      </c>
      <c r="W192" s="5">
        <v>1.4319999999999999</v>
      </c>
      <c r="X192" s="5">
        <v>3.24</v>
      </c>
      <c r="Y192" s="5">
        <v>8.1259999999999994</v>
      </c>
      <c r="Z192" s="5">
        <v>5282</v>
      </c>
      <c r="AA192" s="5">
        <v>5270</v>
      </c>
      <c r="AB192" s="5">
        <v>5270</v>
      </c>
      <c r="AC192" s="5">
        <v>0.06</v>
      </c>
      <c r="AD192" s="5">
        <v>-5.5E-2</v>
      </c>
      <c r="AE192" s="5">
        <v>-2.5999999999999999E-2</v>
      </c>
      <c r="AF192" s="5">
        <v>2.2839999999999999E-2</v>
      </c>
      <c r="AG192" s="5">
        <v>-5.8160000000000003E-2</v>
      </c>
      <c r="AH192" s="5">
        <v>0.12</v>
      </c>
      <c r="AI192" s="5">
        <v>0.12875</v>
      </c>
      <c r="AJ192" s="5">
        <v>-1.9400000000000001E-3</v>
      </c>
      <c r="AK192" s="5">
        <v>-1.2899999999999999E-3</v>
      </c>
      <c r="AL192" s="5">
        <v>0</v>
      </c>
      <c r="AM192" s="5">
        <v>0</v>
      </c>
      <c r="AN192" s="5">
        <v>0.16700000000000001</v>
      </c>
      <c r="AO192" s="6">
        <f t="shared" si="56"/>
        <v>1.0022770398481973</v>
      </c>
      <c r="AP192" s="5">
        <f t="shared" si="57"/>
        <v>-12</v>
      </c>
      <c r="AQ192" s="8">
        <f t="shared" si="58"/>
        <v>-3.6923076923076927E-2</v>
      </c>
      <c r="AR192" s="6">
        <f t="shared" si="59"/>
        <v>1</v>
      </c>
      <c r="AS192" s="6">
        <f t="shared" si="60"/>
        <v>-4.063664070436844E-2</v>
      </c>
      <c r="AT192" s="6">
        <f t="shared" si="61"/>
        <v>-0.12641052828233093</v>
      </c>
      <c r="AU192" s="6">
        <f t="shared" si="62"/>
        <v>-8.658008658008863E-2</v>
      </c>
      <c r="AV192" s="5">
        <f t="shared" si="63"/>
        <v>0</v>
      </c>
      <c r="AW192" s="5">
        <f t="shared" si="64"/>
        <v>0</v>
      </c>
      <c r="AX192" s="5">
        <f t="shared" si="65"/>
        <v>0</v>
      </c>
      <c r="AY192" s="5">
        <f t="shared" si="66"/>
        <v>5</v>
      </c>
      <c r="AZ192" s="5">
        <f t="shared" si="67"/>
        <v>0</v>
      </c>
    </row>
    <row r="193" spans="1:52" x14ac:dyDescent="0.3">
      <c r="A193" s="5" t="s">
        <v>52</v>
      </c>
      <c r="B193" s="5" t="s">
        <v>62</v>
      </c>
      <c r="C193" s="5" t="s">
        <v>54</v>
      </c>
      <c r="D193" s="5" t="s">
        <v>61</v>
      </c>
      <c r="E193" s="5" t="s">
        <v>55</v>
      </c>
      <c r="F193" s="5">
        <v>2</v>
      </c>
      <c r="G193" s="5">
        <v>0.04</v>
      </c>
      <c r="H193" s="5" t="b">
        <v>0</v>
      </c>
      <c r="I193" s="5" t="b">
        <v>1</v>
      </c>
      <c r="J193" s="5" t="b">
        <v>0</v>
      </c>
      <c r="K193" s="5">
        <v>2.9529999999999998</v>
      </c>
      <c r="L193" s="5">
        <v>5.1999999999999998E-2</v>
      </c>
      <c r="M193" s="5">
        <v>-5.8000000000000003E-2</v>
      </c>
      <c r="N193" s="5">
        <v>146.756</v>
      </c>
      <c r="O193" s="5">
        <v>-8.2000000000000003E-2</v>
      </c>
      <c r="P193" s="5">
        <v>5.0000000000000001E-3</v>
      </c>
      <c r="Q193" s="6">
        <v>1E-3</v>
      </c>
      <c r="R193" s="6">
        <v>0.18</v>
      </c>
      <c r="S193" s="7">
        <v>2481.2489999999998</v>
      </c>
      <c r="T193" s="5">
        <v>1838.375</v>
      </c>
      <c r="U193" s="5">
        <v>1.282</v>
      </c>
      <c r="V193" s="5">
        <v>1.9710000000000001</v>
      </c>
      <c r="W193" s="5">
        <v>1.2050000000000001</v>
      </c>
      <c r="X193" s="5">
        <v>3.121</v>
      </c>
      <c r="Y193" s="5">
        <v>7.58</v>
      </c>
      <c r="Z193" s="5">
        <v>5282</v>
      </c>
      <c r="AA193" s="5">
        <v>5270</v>
      </c>
      <c r="AB193" s="5">
        <v>5270</v>
      </c>
      <c r="AC193" s="5">
        <v>0.06</v>
      </c>
      <c r="AD193" s="5">
        <v>-0.06</v>
      </c>
      <c r="AE193" s="5">
        <v>-4.2000000000000003E-2</v>
      </c>
      <c r="AF193" s="5">
        <v>1.472E-2</v>
      </c>
      <c r="AG193" s="5">
        <v>-8.7279999999999996E-2</v>
      </c>
      <c r="AH193" s="5">
        <v>0.08</v>
      </c>
      <c r="AI193" s="5">
        <v>0.10305</v>
      </c>
      <c r="AJ193" s="5">
        <v>-2.16E-3</v>
      </c>
      <c r="AK193" s="5">
        <v>-1.6199999999999999E-3</v>
      </c>
      <c r="AL193" s="5">
        <v>0</v>
      </c>
      <c r="AM193" s="5">
        <v>0</v>
      </c>
      <c r="AN193" s="5">
        <v>0.40799999999999997</v>
      </c>
      <c r="AO193" s="6">
        <f t="shared" si="56"/>
        <v>1.0022770398481973</v>
      </c>
      <c r="AP193" s="5">
        <f t="shared" si="57"/>
        <v>-12</v>
      </c>
      <c r="AQ193" s="8">
        <f t="shared" si="58"/>
        <v>-3.6923076923076927E-2</v>
      </c>
      <c r="AR193" s="6">
        <f t="shared" si="59"/>
        <v>1</v>
      </c>
      <c r="AS193" s="6">
        <f t="shared" si="60"/>
        <v>-4.063664070436844E-2</v>
      </c>
      <c r="AT193" s="6">
        <f t="shared" si="61"/>
        <v>-9.7600387112639228E-2</v>
      </c>
      <c r="AU193" s="6">
        <f t="shared" si="62"/>
        <v>0</v>
      </c>
      <c r="AV193" s="5">
        <f t="shared" si="63"/>
        <v>0</v>
      </c>
      <c r="AW193" s="5">
        <f t="shared" si="64"/>
        <v>0</v>
      </c>
      <c r="AX193" s="5">
        <f t="shared" si="65"/>
        <v>0</v>
      </c>
      <c r="AY193" s="5">
        <f t="shared" si="66"/>
        <v>5</v>
      </c>
      <c r="AZ193" s="5">
        <f t="shared" si="67"/>
        <v>0</v>
      </c>
    </row>
    <row r="194" spans="1:52" x14ac:dyDescent="0.3">
      <c r="A194" s="5" t="s">
        <v>52</v>
      </c>
      <c r="B194" s="5" t="s">
        <v>62</v>
      </c>
      <c r="C194" s="5" t="s">
        <v>54</v>
      </c>
      <c r="D194" s="5" t="s">
        <v>61</v>
      </c>
      <c r="E194" s="5" t="s">
        <v>55</v>
      </c>
      <c r="F194" s="5">
        <v>2</v>
      </c>
      <c r="G194" s="5">
        <v>0.04</v>
      </c>
      <c r="H194" s="5" t="b">
        <v>0</v>
      </c>
      <c r="I194" s="5" t="b">
        <v>1</v>
      </c>
      <c r="J194" s="5" t="b">
        <v>0</v>
      </c>
      <c r="K194" s="5">
        <v>2.9529999999999998</v>
      </c>
      <c r="L194" s="5">
        <v>5.1999999999999998E-2</v>
      </c>
      <c r="M194" s="5">
        <v>-5.8000000000000003E-2</v>
      </c>
      <c r="N194" s="5">
        <v>282.67399999999998</v>
      </c>
      <c r="O194" s="5">
        <v>-4.2000000000000003E-2</v>
      </c>
      <c r="P194" s="5">
        <v>5.0000000000000001E-3</v>
      </c>
      <c r="Q194" s="6">
        <v>1E-3</v>
      </c>
      <c r="R194" s="6">
        <v>0.18</v>
      </c>
      <c r="S194" s="7">
        <v>2494.306</v>
      </c>
      <c r="T194" s="5">
        <v>1838.375</v>
      </c>
      <c r="U194" s="5">
        <v>1.2889999999999999</v>
      </c>
      <c r="V194" s="5">
        <v>1.9630000000000001</v>
      </c>
      <c r="W194" s="5">
        <v>1.2330000000000001</v>
      </c>
      <c r="X194" s="5">
        <v>3.2090000000000001</v>
      </c>
      <c r="Y194" s="5">
        <v>7.6959999999999997</v>
      </c>
      <c r="Z194" s="5">
        <v>5281</v>
      </c>
      <c r="AA194" s="5">
        <v>5270</v>
      </c>
      <c r="AB194" s="5">
        <v>5270</v>
      </c>
      <c r="AC194" s="5">
        <v>0.06</v>
      </c>
      <c r="AD194" s="5">
        <v>-0.06</v>
      </c>
      <c r="AE194" s="5">
        <v>-5.5E-2</v>
      </c>
      <c r="AF194" s="5">
        <v>7.6400000000000001E-3</v>
      </c>
      <c r="AG194" s="5">
        <v>-0.10736</v>
      </c>
      <c r="AH194" s="5">
        <v>0.06</v>
      </c>
      <c r="AI194" s="5">
        <v>5.8259999999999999E-2</v>
      </c>
      <c r="AJ194" s="5">
        <v>-3.4299999999999999E-3</v>
      </c>
      <c r="AK194" s="5">
        <v>-2.0200000000000001E-3</v>
      </c>
      <c r="AL194" s="5">
        <v>0</v>
      </c>
      <c r="AM194" s="5">
        <v>0</v>
      </c>
      <c r="AN194" s="5">
        <v>0.50600000000000001</v>
      </c>
      <c r="AO194" s="6">
        <f t="shared" si="56"/>
        <v>1.0020872865275143</v>
      </c>
      <c r="AP194" s="5">
        <f t="shared" si="57"/>
        <v>-11</v>
      </c>
      <c r="AQ194" s="8">
        <f t="shared" si="58"/>
        <v>-3.3846153846153845E-2</v>
      </c>
      <c r="AR194" s="6">
        <f t="shared" si="59"/>
        <v>1</v>
      </c>
      <c r="AS194" s="6">
        <f t="shared" si="60"/>
        <v>-3.7250253979004402E-2</v>
      </c>
      <c r="AT194" s="6">
        <f t="shared" si="61"/>
        <v>-4.982593839122329E-2</v>
      </c>
      <c r="AU194" s="6">
        <f t="shared" si="62"/>
        <v>7.6587271195525872E-2</v>
      </c>
      <c r="AV194" s="5">
        <f t="shared" si="63"/>
        <v>0</v>
      </c>
      <c r="AW194" s="5">
        <f t="shared" si="64"/>
        <v>0</v>
      </c>
      <c r="AX194" s="5">
        <f t="shared" si="65"/>
        <v>0</v>
      </c>
      <c r="AY194" s="5">
        <f t="shared" si="66"/>
        <v>5</v>
      </c>
      <c r="AZ194" s="5">
        <f t="shared" si="67"/>
        <v>0</v>
      </c>
    </row>
    <row r="195" spans="1:52" x14ac:dyDescent="0.3">
      <c r="A195" s="5" t="s">
        <v>52</v>
      </c>
      <c r="B195" s="5" t="s">
        <v>62</v>
      </c>
      <c r="C195" s="5" t="s">
        <v>54</v>
      </c>
      <c r="D195" s="5" t="s">
        <v>58</v>
      </c>
      <c r="E195" s="5" t="s">
        <v>55</v>
      </c>
      <c r="F195" s="5">
        <v>2</v>
      </c>
      <c r="G195" s="5">
        <v>0.04</v>
      </c>
      <c r="H195" s="5" t="b">
        <v>0</v>
      </c>
      <c r="I195" s="5" t="b">
        <v>1</v>
      </c>
      <c r="J195" s="5" t="b">
        <v>0</v>
      </c>
      <c r="K195" s="5">
        <v>2.9529999999999998</v>
      </c>
      <c r="L195" s="5">
        <v>5.1999999999999998E-2</v>
      </c>
      <c r="M195" s="5">
        <v>-5.8000000000000003E-2</v>
      </c>
      <c r="N195" s="5">
        <v>-289.84100000000001</v>
      </c>
      <c r="O195" s="5">
        <v>3.7999999999999999E-2</v>
      </c>
      <c r="P195" s="5">
        <v>5.0000000000000001E-3</v>
      </c>
      <c r="Q195" s="6">
        <v>1E-3</v>
      </c>
      <c r="R195" s="6">
        <v>0.18</v>
      </c>
      <c r="S195" s="7">
        <v>2505.7710000000002</v>
      </c>
      <c r="T195" s="5">
        <v>1838.375</v>
      </c>
      <c r="U195" s="5">
        <v>1.413</v>
      </c>
      <c r="V195" s="5">
        <v>2.1419999999999999</v>
      </c>
      <c r="W195" s="5">
        <v>1.282</v>
      </c>
      <c r="X195" s="5">
        <v>3.1259999999999999</v>
      </c>
      <c r="Y195" s="5">
        <v>7.9640000000000004</v>
      </c>
      <c r="Z195" s="5">
        <v>5280</v>
      </c>
      <c r="AA195" s="5">
        <v>5270</v>
      </c>
      <c r="AB195" s="5">
        <v>5270</v>
      </c>
      <c r="AC195" s="5">
        <v>0.06</v>
      </c>
      <c r="AD195" s="5">
        <v>-5.5E-2</v>
      </c>
      <c r="AE195" s="5">
        <v>-6.5000000000000002E-2</v>
      </c>
      <c r="AF195" s="5">
        <v>6.8300000000000001E-3</v>
      </c>
      <c r="AG195" s="5">
        <v>-0.11317000000000001</v>
      </c>
      <c r="AH195" s="5">
        <v>0.02</v>
      </c>
      <c r="AI195" s="5">
        <v>0</v>
      </c>
      <c r="AJ195" s="5">
        <v>-5.0800000000000003E-3</v>
      </c>
      <c r="AK195" s="5">
        <v>-2.96E-3</v>
      </c>
      <c r="AL195" s="5">
        <v>0</v>
      </c>
      <c r="AM195" s="5">
        <v>0</v>
      </c>
      <c r="AN195" s="5">
        <v>0.54600000000000004</v>
      </c>
      <c r="AO195" s="6">
        <f t="shared" si="56"/>
        <v>1.0018975332068312</v>
      </c>
      <c r="AP195" s="5">
        <f t="shared" si="57"/>
        <v>-10</v>
      </c>
      <c r="AQ195" s="8">
        <f t="shared" si="58"/>
        <v>-3.0769230769230771E-2</v>
      </c>
      <c r="AR195" s="6">
        <f t="shared" si="59"/>
        <v>1</v>
      </c>
      <c r="AS195" s="6">
        <f t="shared" si="60"/>
        <v>-3.3863867253640365E-2</v>
      </c>
      <c r="AT195" s="6">
        <f t="shared" si="61"/>
        <v>1.6764697439227067E-3</v>
      </c>
      <c r="AU195" s="6">
        <f t="shared" si="62"/>
        <v>8.7221979938943511E-2</v>
      </c>
      <c r="AV195" s="5">
        <f t="shared" si="63"/>
        <v>0</v>
      </c>
      <c r="AW195" s="5">
        <f t="shared" si="64"/>
        <v>0</v>
      </c>
      <c r="AX195" s="5">
        <f t="shared" si="65"/>
        <v>0</v>
      </c>
      <c r="AY195" s="5">
        <f t="shared" si="66"/>
        <v>5</v>
      </c>
      <c r="AZ195" s="5">
        <f t="shared" si="67"/>
        <v>0</v>
      </c>
    </row>
    <row r="196" spans="1:52" x14ac:dyDescent="0.3">
      <c r="A196" s="5" t="s">
        <v>52</v>
      </c>
      <c r="B196" s="5" t="s">
        <v>62</v>
      </c>
      <c r="C196" s="5" t="s">
        <v>54</v>
      </c>
      <c r="D196" s="5" t="s">
        <v>58</v>
      </c>
      <c r="E196" s="5" t="s">
        <v>55</v>
      </c>
      <c r="F196" s="5">
        <v>2</v>
      </c>
      <c r="G196" s="5">
        <v>0.04</v>
      </c>
      <c r="H196" s="5" t="b">
        <v>0</v>
      </c>
      <c r="I196" s="5" t="b">
        <v>1</v>
      </c>
      <c r="J196" s="5" t="b">
        <v>0</v>
      </c>
      <c r="K196" s="5">
        <v>2.9529999999999998</v>
      </c>
      <c r="L196" s="5">
        <v>5.1999999999999998E-2</v>
      </c>
      <c r="M196" s="5">
        <v>-5.8000000000000003E-2</v>
      </c>
      <c r="N196" s="5">
        <v>-124.11</v>
      </c>
      <c r="O196" s="5">
        <v>8.1000000000000003E-2</v>
      </c>
      <c r="P196" s="5">
        <v>5.0000000000000001E-3</v>
      </c>
      <c r="Q196" s="6">
        <v>1E-3</v>
      </c>
      <c r="R196" s="6">
        <v>0.18</v>
      </c>
      <c r="S196" s="7">
        <v>2518.732</v>
      </c>
      <c r="T196" s="5">
        <v>1838.375</v>
      </c>
      <c r="U196" s="5">
        <v>1.2250000000000001</v>
      </c>
      <c r="V196" s="5">
        <v>2.0619999999999998</v>
      </c>
      <c r="W196" s="5">
        <v>1.236</v>
      </c>
      <c r="X196" s="5">
        <v>3.1150000000000002</v>
      </c>
      <c r="Y196" s="5">
        <v>7.6390000000000002</v>
      </c>
      <c r="Z196" s="5">
        <v>5278</v>
      </c>
      <c r="AA196" s="5">
        <v>5270</v>
      </c>
      <c r="AB196" s="5">
        <v>5270</v>
      </c>
      <c r="AC196" s="5">
        <v>0.06</v>
      </c>
      <c r="AD196" s="5">
        <v>-0.05</v>
      </c>
      <c r="AE196" s="5">
        <v>-7.1999999999999995E-2</v>
      </c>
      <c r="AF196" s="5">
        <v>1.4500000000000001E-2</v>
      </c>
      <c r="AG196" s="5">
        <v>-0.1075</v>
      </c>
      <c r="AH196" s="5">
        <v>-0.08</v>
      </c>
      <c r="AI196" s="5">
        <v>-4.9230000000000003E-2</v>
      </c>
      <c r="AJ196" s="5">
        <v>-3.8E-3</v>
      </c>
      <c r="AK196" s="5">
        <v>-3.29E-3</v>
      </c>
      <c r="AL196" s="5">
        <v>0</v>
      </c>
      <c r="AM196" s="5">
        <v>0</v>
      </c>
      <c r="AN196" s="5">
        <v>0.52100000000000002</v>
      </c>
      <c r="AO196" s="6">
        <f t="shared" si="56"/>
        <v>1.0015180265654648</v>
      </c>
      <c r="AP196" s="5">
        <f t="shared" si="57"/>
        <v>-8</v>
      </c>
      <c r="AQ196" s="8">
        <f t="shared" si="58"/>
        <v>-2.4615384615384615E-2</v>
      </c>
      <c r="AR196" s="6">
        <f t="shared" si="59"/>
        <v>1</v>
      </c>
      <c r="AS196" s="6">
        <f t="shared" si="60"/>
        <v>-2.7091093802912292E-2</v>
      </c>
      <c r="AT196" s="6">
        <f t="shared" si="61"/>
        <v>4.6307649128761084E-2</v>
      </c>
      <c r="AU196" s="6">
        <f t="shared" si="62"/>
        <v>0.15430908108942468</v>
      </c>
      <c r="AV196" s="5">
        <f t="shared" si="63"/>
        <v>0</v>
      </c>
      <c r="AW196" s="5">
        <f t="shared" si="64"/>
        <v>0</v>
      </c>
      <c r="AX196" s="5">
        <f t="shared" si="65"/>
        <v>0</v>
      </c>
      <c r="AY196" s="5">
        <f t="shared" si="66"/>
        <v>5</v>
      </c>
      <c r="AZ196" s="5">
        <f t="shared" si="67"/>
        <v>0</v>
      </c>
    </row>
    <row r="197" spans="1:52" x14ac:dyDescent="0.3">
      <c r="A197" s="5" t="s">
        <v>52</v>
      </c>
      <c r="B197" s="5" t="s">
        <v>62</v>
      </c>
      <c r="C197" s="5" t="s">
        <v>54</v>
      </c>
      <c r="D197" s="5" t="s">
        <v>58</v>
      </c>
      <c r="E197" s="5" t="s">
        <v>55</v>
      </c>
      <c r="F197" s="5">
        <v>2</v>
      </c>
      <c r="G197" s="5">
        <v>0.04</v>
      </c>
      <c r="H197" s="5" t="b">
        <v>0</v>
      </c>
      <c r="I197" s="5" t="b">
        <v>1</v>
      </c>
      <c r="J197" s="5" t="b">
        <v>0</v>
      </c>
      <c r="K197" s="5">
        <v>2.9529999999999998</v>
      </c>
      <c r="L197" s="5">
        <v>5.1999999999999998E-2</v>
      </c>
      <c r="M197" s="5">
        <v>-5.8000000000000003E-2</v>
      </c>
      <c r="N197" s="5">
        <v>-65.695999999999998</v>
      </c>
      <c r="O197" s="5">
        <v>0.122</v>
      </c>
      <c r="P197" s="5">
        <v>5.0000000000000001E-3</v>
      </c>
      <c r="Q197" s="6">
        <v>1E-3</v>
      </c>
      <c r="R197" s="6">
        <v>0.18</v>
      </c>
      <c r="S197" s="7">
        <v>2530.16</v>
      </c>
      <c r="T197" s="5">
        <v>1838.375</v>
      </c>
      <c r="U197" s="5">
        <v>1.48</v>
      </c>
      <c r="V197" s="5">
        <v>1.9890000000000001</v>
      </c>
      <c r="W197" s="5">
        <v>1.236</v>
      </c>
      <c r="X197" s="5">
        <v>3.68</v>
      </c>
      <c r="Y197" s="5">
        <v>8.3889999999999993</v>
      </c>
      <c r="Z197" s="5">
        <v>5275</v>
      </c>
      <c r="AA197" s="5">
        <v>5270</v>
      </c>
      <c r="AB197" s="5">
        <v>5270</v>
      </c>
      <c r="AC197" s="5">
        <v>0.06</v>
      </c>
      <c r="AD197" s="5">
        <v>-0.04</v>
      </c>
      <c r="AE197" s="5">
        <v>-7.4999999999999997E-2</v>
      </c>
      <c r="AF197" s="5">
        <v>2.1919999999999999E-2</v>
      </c>
      <c r="AG197" s="5">
        <v>-9.3079999999999996E-2</v>
      </c>
      <c r="AH197" s="5">
        <v>-0.14000000000000001</v>
      </c>
      <c r="AI197" s="5">
        <v>-0.11509</v>
      </c>
      <c r="AJ197" s="5">
        <v>-5.7600000000000004E-3</v>
      </c>
      <c r="AK197" s="5">
        <v>-4.0099999999999997E-3</v>
      </c>
      <c r="AL197" s="5">
        <v>0</v>
      </c>
      <c r="AM197" s="5">
        <v>0</v>
      </c>
      <c r="AN197" s="5">
        <v>0.33800000000000002</v>
      </c>
      <c r="AO197" s="6">
        <f t="shared" si="56"/>
        <v>1.0009487666034156</v>
      </c>
      <c r="AP197" s="5">
        <f t="shared" si="57"/>
        <v>-5</v>
      </c>
      <c r="AQ197" s="8">
        <f t="shared" si="58"/>
        <v>-1.5384615384615385E-2</v>
      </c>
      <c r="AR197" s="6">
        <f t="shared" si="59"/>
        <v>1</v>
      </c>
      <c r="AS197" s="6">
        <f t="shared" si="60"/>
        <v>-1.6931933626820182E-2</v>
      </c>
      <c r="AT197" s="6">
        <f t="shared" si="61"/>
        <v>0.11612629157603591</v>
      </c>
      <c r="AU197" s="6">
        <f t="shared" si="62"/>
        <v>0.26251312565628548</v>
      </c>
      <c r="AV197" s="5">
        <f t="shared" si="63"/>
        <v>0</v>
      </c>
      <c r="AW197" s="5">
        <f t="shared" si="64"/>
        <v>0</v>
      </c>
      <c r="AX197" s="5">
        <f t="shared" si="65"/>
        <v>0</v>
      </c>
      <c r="AY197" s="5">
        <f t="shared" si="66"/>
        <v>5</v>
      </c>
      <c r="AZ197" s="5">
        <f t="shared" si="67"/>
        <v>0</v>
      </c>
    </row>
    <row r="198" spans="1:52" x14ac:dyDescent="0.3">
      <c r="A198" s="5" t="s">
        <v>52</v>
      </c>
      <c r="B198" s="5" t="s">
        <v>62</v>
      </c>
      <c r="C198" s="5" t="s">
        <v>54</v>
      </c>
      <c r="D198" s="5" t="s">
        <v>58</v>
      </c>
      <c r="E198" s="5" t="s">
        <v>55</v>
      </c>
      <c r="F198" s="5">
        <v>2</v>
      </c>
      <c r="G198" s="5">
        <v>0.04</v>
      </c>
      <c r="H198" s="5" t="b">
        <v>0</v>
      </c>
      <c r="I198" s="5" t="b">
        <v>1</v>
      </c>
      <c r="J198" s="5" t="b">
        <v>0</v>
      </c>
      <c r="K198" s="5">
        <v>2.9529999999999998</v>
      </c>
      <c r="L198" s="5">
        <v>5.1999999999999998E-2</v>
      </c>
      <c r="M198" s="5">
        <v>-5.8000000000000003E-2</v>
      </c>
      <c r="N198" s="5">
        <v>-24.719000000000001</v>
      </c>
      <c r="O198" s="5">
        <v>0.20200000000000001</v>
      </c>
      <c r="P198" s="5">
        <v>5.0000000000000001E-3</v>
      </c>
      <c r="Q198" s="6">
        <v>1E-3</v>
      </c>
      <c r="R198" s="6">
        <v>0.18</v>
      </c>
      <c r="S198" s="7">
        <v>2542.6289999999999</v>
      </c>
      <c r="T198" s="5">
        <v>1838.375</v>
      </c>
      <c r="U198" s="5">
        <v>1.3380000000000001</v>
      </c>
      <c r="V198" s="5">
        <v>2.0289999999999999</v>
      </c>
      <c r="W198" s="5">
        <v>1.5289999999999999</v>
      </c>
      <c r="X198" s="5">
        <v>3.0819999999999999</v>
      </c>
      <c r="Y198" s="5">
        <v>7.98</v>
      </c>
      <c r="Z198" s="5">
        <v>5272</v>
      </c>
      <c r="AA198" s="5">
        <v>5270</v>
      </c>
      <c r="AB198" s="5">
        <v>5270</v>
      </c>
      <c r="AC198" s="5">
        <v>0.06</v>
      </c>
      <c r="AD198" s="5">
        <v>-2.5000000000000001E-2</v>
      </c>
      <c r="AE198" s="5">
        <v>-7.2999999999999995E-2</v>
      </c>
      <c r="AF198" s="5">
        <v>3.6409999999999998E-2</v>
      </c>
      <c r="AG198" s="5">
        <v>-6.1589999999999999E-2</v>
      </c>
      <c r="AH198" s="5">
        <v>-0.18</v>
      </c>
      <c r="AI198" s="5">
        <v>-0.16292000000000001</v>
      </c>
      <c r="AJ198" s="5">
        <v>-3.8400000000000001E-3</v>
      </c>
      <c r="AK198" s="5">
        <v>-4.3299999999999996E-3</v>
      </c>
      <c r="AL198" s="5">
        <v>0</v>
      </c>
      <c r="AM198" s="5">
        <v>0</v>
      </c>
      <c r="AN198" s="5">
        <v>0.23599999999999999</v>
      </c>
      <c r="AO198" s="6">
        <f t="shared" si="56"/>
        <v>1.0003795066413663</v>
      </c>
      <c r="AP198" s="5">
        <f t="shared" si="57"/>
        <v>-2</v>
      </c>
      <c r="AQ198" s="8">
        <f t="shared" si="58"/>
        <v>-6.1538461538461538E-3</v>
      </c>
      <c r="AR198" s="6">
        <f t="shared" si="59"/>
        <v>1</v>
      </c>
      <c r="AS198" s="6">
        <f t="shared" si="60"/>
        <v>-6.7727734507280731E-3</v>
      </c>
      <c r="AT198" s="6">
        <f t="shared" si="61"/>
        <v>0.16424562752919955</v>
      </c>
      <c r="AU198" s="6">
        <f t="shared" si="62"/>
        <v>0.24059667976581825</v>
      </c>
      <c r="AV198" s="5">
        <f t="shared" si="63"/>
        <v>0</v>
      </c>
      <c r="AW198" s="5">
        <f t="shared" si="64"/>
        <v>0</v>
      </c>
      <c r="AX198" s="5">
        <f t="shared" si="65"/>
        <v>0</v>
      </c>
      <c r="AY198" s="5">
        <f t="shared" si="66"/>
        <v>5</v>
      </c>
      <c r="AZ198" s="5">
        <f t="shared" si="67"/>
        <v>5</v>
      </c>
    </row>
    <row r="199" spans="1:52" x14ac:dyDescent="0.3">
      <c r="A199" s="5" t="s">
        <v>52</v>
      </c>
      <c r="B199" s="5" t="s">
        <v>62</v>
      </c>
      <c r="C199" s="5" t="s">
        <v>54</v>
      </c>
      <c r="D199" s="5" t="s">
        <v>58</v>
      </c>
      <c r="E199" s="5" t="s">
        <v>55</v>
      </c>
      <c r="F199" s="5">
        <v>2</v>
      </c>
      <c r="G199" s="5">
        <v>0.04</v>
      </c>
      <c r="H199" s="5" t="b">
        <v>0</v>
      </c>
      <c r="I199" s="5" t="b">
        <v>1</v>
      </c>
      <c r="J199" s="5" t="b">
        <v>0</v>
      </c>
      <c r="K199" s="5">
        <v>2.9529999999999998</v>
      </c>
      <c r="L199" s="5">
        <v>5.1999999999999998E-2</v>
      </c>
      <c r="M199" s="5">
        <v>-5.8000000000000003E-2</v>
      </c>
      <c r="N199" s="5">
        <v>-8.08</v>
      </c>
      <c r="O199" s="5">
        <v>0.248</v>
      </c>
      <c r="P199" s="5">
        <v>5.0000000000000001E-3</v>
      </c>
      <c r="Q199" s="6">
        <v>1E-3</v>
      </c>
      <c r="R199" s="6">
        <v>0.18</v>
      </c>
      <c r="S199" s="7">
        <v>2554.3560000000002</v>
      </c>
      <c r="T199" s="5">
        <v>1838.375</v>
      </c>
      <c r="U199" s="5">
        <v>1.3320000000000001</v>
      </c>
      <c r="V199" s="5">
        <v>1.978</v>
      </c>
      <c r="W199" s="5">
        <v>1.266</v>
      </c>
      <c r="X199" s="5">
        <v>3.17</v>
      </c>
      <c r="Y199" s="5">
        <v>7.7480000000000002</v>
      </c>
      <c r="Z199" s="5">
        <v>5270</v>
      </c>
      <c r="AA199" s="5">
        <v>5270</v>
      </c>
      <c r="AB199" s="5">
        <v>5270</v>
      </c>
      <c r="AC199" s="5">
        <v>0.06</v>
      </c>
      <c r="AD199" s="5">
        <v>-0.01</v>
      </c>
      <c r="AE199" s="5">
        <v>-6.5000000000000002E-2</v>
      </c>
      <c r="AF199" s="5">
        <v>4.4560000000000002E-2</v>
      </c>
      <c r="AG199" s="5">
        <v>-3.0439999999999998E-2</v>
      </c>
      <c r="AH199" s="5">
        <v>-0.2</v>
      </c>
      <c r="AI199" s="5">
        <v>-0.18318000000000001</v>
      </c>
      <c r="AJ199" s="5">
        <v>-1.73E-3</v>
      </c>
      <c r="AK199" s="5">
        <v>-4.0200000000000001E-3</v>
      </c>
      <c r="AL199" s="5">
        <v>0</v>
      </c>
      <c r="AM199" s="5">
        <v>0</v>
      </c>
      <c r="AN199" s="5">
        <v>0.16700000000000001</v>
      </c>
      <c r="AO199" s="6">
        <f t="shared" ref="AO199:AO231" si="68">Z199/AA199</f>
        <v>1</v>
      </c>
      <c r="AP199" s="5">
        <f t="shared" ref="AP199:AP231" si="69">AB199-Z199</f>
        <v>0</v>
      </c>
      <c r="AQ199" s="8">
        <f t="shared" ref="AQ199:AQ231" si="70">AP199/MAX(AP:AP)</f>
        <v>0</v>
      </c>
      <c r="AR199" s="6">
        <f t="shared" ref="AR199:AR231" si="71">AB199/AA199</f>
        <v>1</v>
      </c>
      <c r="AS199" s="6">
        <f t="shared" ref="AS199:AS231" si="72">AP199/(100*K199)</f>
        <v>0</v>
      </c>
      <c r="AT199" s="6">
        <f t="shared" ref="AT199:AT231" si="73">AVERAGE(AU195:AU199)</f>
        <v>0.18303749366188504</v>
      </c>
      <c r="AU199" s="6">
        <f t="shared" ref="AU199:AU231" si="74">(AP199-AP198)/(S199-S198)</f>
        <v>0.17054660185895335</v>
      </c>
      <c r="AV199" s="5">
        <f t="shared" ref="AV199:AV231" si="75">IF(B199="ACCELERATION",5,0)</f>
        <v>0</v>
      </c>
      <c r="AW199" s="5">
        <f t="shared" ref="AW199:AW231" si="76">IF(B199="CRUISING",5,0)</f>
        <v>0</v>
      </c>
      <c r="AX199" s="5">
        <f t="shared" ref="AX199:AX231" si="77">IF(B199="DECELERATION",5,0)</f>
        <v>0</v>
      </c>
      <c r="AY199" s="5">
        <f t="shared" ref="AY199:AY231" si="78">IF(B199="END",5,0)</f>
        <v>5</v>
      </c>
      <c r="AZ199" s="5">
        <f t="shared" ref="AZ199:AZ231" si="79">IF(ABS(Z199-AA199)&lt;5,5,0)</f>
        <v>5</v>
      </c>
    </row>
    <row r="200" spans="1:52" x14ac:dyDescent="0.3">
      <c r="A200" s="5" t="s">
        <v>52</v>
      </c>
      <c r="B200" s="5" t="s">
        <v>62</v>
      </c>
      <c r="C200" s="5" t="s">
        <v>54</v>
      </c>
      <c r="D200" s="5" t="s">
        <v>58</v>
      </c>
      <c r="E200" s="5" t="s">
        <v>55</v>
      </c>
      <c r="F200" s="5">
        <v>2</v>
      </c>
      <c r="G200" s="5">
        <v>0.04</v>
      </c>
      <c r="H200" s="5" t="b">
        <v>0</v>
      </c>
      <c r="I200" s="5" t="b">
        <v>1</v>
      </c>
      <c r="J200" s="5" t="b">
        <v>0</v>
      </c>
      <c r="K200" s="5">
        <v>2.9529999999999998</v>
      </c>
      <c r="L200" s="5">
        <v>5.1999999999999998E-2</v>
      </c>
      <c r="M200" s="5">
        <v>-5.8000000000000003E-2</v>
      </c>
      <c r="N200" s="5">
        <v>0</v>
      </c>
      <c r="O200" s="5">
        <v>0.21099999999999999</v>
      </c>
      <c r="P200" s="5">
        <v>5.0000000000000001E-3</v>
      </c>
      <c r="Q200" s="6">
        <v>1E-3</v>
      </c>
      <c r="R200" s="6">
        <v>0.18</v>
      </c>
      <c r="S200" s="7">
        <v>2565.8310000000001</v>
      </c>
      <c r="T200" s="5">
        <v>1838.375</v>
      </c>
      <c r="U200" s="5">
        <v>1.377</v>
      </c>
      <c r="V200" s="5">
        <v>2.0790000000000002</v>
      </c>
      <c r="W200" s="5">
        <v>1.2230000000000001</v>
      </c>
      <c r="X200" s="5">
        <v>3.0950000000000002</v>
      </c>
      <c r="Y200" s="5">
        <v>7.7770000000000001</v>
      </c>
      <c r="Z200" s="5">
        <v>5268</v>
      </c>
      <c r="AA200" s="5">
        <v>5270</v>
      </c>
      <c r="AB200" s="5">
        <v>5270</v>
      </c>
      <c r="AC200" s="5">
        <v>0.06</v>
      </c>
      <c r="AD200" s="5">
        <v>0</v>
      </c>
      <c r="AE200" s="5">
        <v>-5.5E-2</v>
      </c>
      <c r="AF200" s="5">
        <v>3.805E-2</v>
      </c>
      <c r="AG200" s="5">
        <v>-1.695E-2</v>
      </c>
      <c r="AH200" s="5">
        <v>-0.2</v>
      </c>
      <c r="AI200" s="5">
        <v>-0.19980000000000001</v>
      </c>
      <c r="AJ200" s="5">
        <v>-1.4499999999999999E-3</v>
      </c>
      <c r="AK200" s="5">
        <v>-3.3300000000000001E-3</v>
      </c>
      <c r="AL200" s="5">
        <v>0</v>
      </c>
      <c r="AM200" s="5">
        <v>0</v>
      </c>
      <c r="AN200" s="5">
        <v>0.11600000000000001</v>
      </c>
      <c r="AO200" s="6">
        <f t="shared" si="68"/>
        <v>0.99962049335863379</v>
      </c>
      <c r="AP200" s="5">
        <f t="shared" si="69"/>
        <v>2</v>
      </c>
      <c r="AQ200" s="8">
        <f t="shared" si="70"/>
        <v>6.1538461538461538E-3</v>
      </c>
      <c r="AR200" s="6">
        <f t="shared" si="71"/>
        <v>1</v>
      </c>
      <c r="AS200" s="6">
        <f t="shared" si="72"/>
        <v>6.7727734507280731E-3</v>
      </c>
      <c r="AT200" s="6">
        <f t="shared" si="73"/>
        <v>0.2004514854736609</v>
      </c>
      <c r="AU200" s="6">
        <f t="shared" si="74"/>
        <v>0.17429193899782272</v>
      </c>
      <c r="AV200" s="5">
        <f t="shared" si="75"/>
        <v>0</v>
      </c>
      <c r="AW200" s="5">
        <f t="shared" si="76"/>
        <v>0</v>
      </c>
      <c r="AX200" s="5">
        <f t="shared" si="77"/>
        <v>0</v>
      </c>
      <c r="AY200" s="5">
        <f t="shared" si="78"/>
        <v>5</v>
      </c>
      <c r="AZ200" s="5">
        <f t="shared" si="79"/>
        <v>5</v>
      </c>
    </row>
    <row r="201" spans="1:52" x14ac:dyDescent="0.3">
      <c r="A201" s="5" t="s">
        <v>52</v>
      </c>
      <c r="B201" s="5" t="s">
        <v>62</v>
      </c>
      <c r="C201" s="5" t="s">
        <v>54</v>
      </c>
      <c r="D201" s="5" t="s">
        <v>61</v>
      </c>
      <c r="E201" s="5" t="s">
        <v>55</v>
      </c>
      <c r="F201" s="5">
        <v>2</v>
      </c>
      <c r="G201" s="5">
        <v>0.04</v>
      </c>
      <c r="H201" s="5" t="b">
        <v>0</v>
      </c>
      <c r="I201" s="5" t="b">
        <v>1</v>
      </c>
      <c r="J201" s="5" t="b">
        <v>0</v>
      </c>
      <c r="K201" s="5">
        <v>2.9529999999999998</v>
      </c>
      <c r="L201" s="5">
        <v>5.1999999999999998E-2</v>
      </c>
      <c r="M201" s="5">
        <v>-5.8000000000000003E-2</v>
      </c>
      <c r="N201" s="5">
        <v>11.499000000000001</v>
      </c>
      <c r="O201" s="5">
        <v>0.17399999999999999</v>
      </c>
      <c r="P201" s="5">
        <v>5.0000000000000001E-3</v>
      </c>
      <c r="Q201" s="6">
        <v>1E-3</v>
      </c>
      <c r="R201" s="6">
        <v>0.18</v>
      </c>
      <c r="S201" s="7">
        <v>2577.337</v>
      </c>
      <c r="T201" s="5">
        <v>1838.375</v>
      </c>
      <c r="U201" s="5">
        <v>1.375</v>
      </c>
      <c r="V201" s="5">
        <v>2.0129999999999999</v>
      </c>
      <c r="W201" s="5">
        <v>1.3360000000000001</v>
      </c>
      <c r="X201" s="5">
        <v>3.2789999999999999</v>
      </c>
      <c r="Y201" s="5">
        <v>8.0050000000000008</v>
      </c>
      <c r="Z201" s="5">
        <v>5266</v>
      </c>
      <c r="AA201" s="5">
        <v>5270</v>
      </c>
      <c r="AB201" s="5">
        <v>5270</v>
      </c>
      <c r="AC201" s="5">
        <v>0.06</v>
      </c>
      <c r="AD201" s="5">
        <v>0.01</v>
      </c>
      <c r="AE201" s="5">
        <v>-4.2999999999999997E-2</v>
      </c>
      <c r="AF201" s="5">
        <v>-3.1309999999999998E-2</v>
      </c>
      <c r="AG201" s="5">
        <v>-6.4310000000000006E-2</v>
      </c>
      <c r="AH201" s="5">
        <v>-0.18</v>
      </c>
      <c r="AI201" s="5">
        <v>-0.20476</v>
      </c>
      <c r="AJ201" s="5">
        <v>-4.2999999999999999E-4</v>
      </c>
      <c r="AK201" s="5">
        <v>-2.65E-3</v>
      </c>
      <c r="AL201" s="5">
        <v>0</v>
      </c>
      <c r="AM201" s="5">
        <v>0</v>
      </c>
      <c r="AN201" s="5">
        <v>8.6999999999999994E-2</v>
      </c>
      <c r="AO201" s="6">
        <f t="shared" si="68"/>
        <v>0.99924098671726758</v>
      </c>
      <c r="AP201" s="5">
        <f t="shared" si="69"/>
        <v>4</v>
      </c>
      <c r="AQ201" s="8">
        <f t="shared" si="70"/>
        <v>1.2307692307692308E-2</v>
      </c>
      <c r="AR201" s="6">
        <f t="shared" si="71"/>
        <v>1</v>
      </c>
      <c r="AS201" s="6">
        <f t="shared" si="72"/>
        <v>1.3545546901456146E-2</v>
      </c>
      <c r="AT201" s="6">
        <f t="shared" si="73"/>
        <v>0.20435413996670979</v>
      </c>
      <c r="AU201" s="6">
        <f t="shared" si="74"/>
        <v>0.17382235355466927</v>
      </c>
      <c r="AV201" s="5">
        <f t="shared" si="75"/>
        <v>0</v>
      </c>
      <c r="AW201" s="5">
        <f t="shared" si="76"/>
        <v>0</v>
      </c>
      <c r="AX201" s="5">
        <f t="shared" si="77"/>
        <v>0</v>
      </c>
      <c r="AY201" s="5">
        <f t="shared" si="78"/>
        <v>5</v>
      </c>
      <c r="AZ201" s="5">
        <f t="shared" si="79"/>
        <v>5</v>
      </c>
    </row>
    <row r="202" spans="1:52" x14ac:dyDescent="0.3">
      <c r="A202" s="5" t="s">
        <v>52</v>
      </c>
      <c r="B202" s="5" t="s">
        <v>62</v>
      </c>
      <c r="C202" s="5" t="s">
        <v>54</v>
      </c>
      <c r="D202" s="5" t="s">
        <v>61</v>
      </c>
      <c r="E202" s="5" t="s">
        <v>55</v>
      </c>
      <c r="F202" s="5">
        <v>2</v>
      </c>
      <c r="G202" s="5">
        <v>0.04</v>
      </c>
      <c r="H202" s="5" t="b">
        <v>0</v>
      </c>
      <c r="I202" s="5" t="b">
        <v>1</v>
      </c>
      <c r="J202" s="5" t="b">
        <v>0</v>
      </c>
      <c r="K202" s="5">
        <v>2.9529999999999998</v>
      </c>
      <c r="L202" s="5">
        <v>5.1999999999999998E-2</v>
      </c>
      <c r="M202" s="5">
        <v>-5.8000000000000003E-2</v>
      </c>
      <c r="N202" s="5">
        <v>23.238</v>
      </c>
      <c r="O202" s="5">
        <v>0.17199999999999999</v>
      </c>
      <c r="P202" s="5">
        <v>5.0000000000000001E-3</v>
      </c>
      <c r="Q202" s="6">
        <v>1E-3</v>
      </c>
      <c r="R202" s="6">
        <v>0.18</v>
      </c>
      <c r="S202" s="7">
        <v>2589.069</v>
      </c>
      <c r="T202" s="5">
        <v>1838.375</v>
      </c>
      <c r="U202" s="5">
        <v>1.5860000000000001</v>
      </c>
      <c r="V202" s="5">
        <v>1.984</v>
      </c>
      <c r="W202" s="5">
        <v>1.2</v>
      </c>
      <c r="X202" s="5">
        <v>3.3660000000000001</v>
      </c>
      <c r="Y202" s="5">
        <v>8.1379999999999999</v>
      </c>
      <c r="Z202" s="5">
        <v>5265</v>
      </c>
      <c r="AA202" s="5">
        <v>5270</v>
      </c>
      <c r="AB202" s="5">
        <v>5270</v>
      </c>
      <c r="AC202" s="5">
        <v>0.06</v>
      </c>
      <c r="AD202" s="5">
        <v>0.02</v>
      </c>
      <c r="AE202" s="5">
        <v>-2.9000000000000001E-2</v>
      </c>
      <c r="AF202" s="5">
        <v>-3.0980000000000001E-2</v>
      </c>
      <c r="AG202" s="5">
        <v>-3.9980000000000002E-2</v>
      </c>
      <c r="AH202" s="5">
        <v>-0.16</v>
      </c>
      <c r="AI202" s="5">
        <v>-0.16975000000000001</v>
      </c>
      <c r="AJ202" s="5">
        <v>2.98E-3</v>
      </c>
      <c r="AK202" s="5">
        <v>-9.3000000000000005E-4</v>
      </c>
      <c r="AL202" s="5">
        <v>0</v>
      </c>
      <c r="AM202" s="5">
        <v>0</v>
      </c>
      <c r="AN202" s="5">
        <v>0.109</v>
      </c>
      <c r="AO202" s="6">
        <f t="shared" si="68"/>
        <v>0.99905123339658441</v>
      </c>
      <c r="AP202" s="5">
        <f t="shared" si="69"/>
        <v>5</v>
      </c>
      <c r="AQ202" s="8">
        <f t="shared" si="70"/>
        <v>1.5384615384615385E-2</v>
      </c>
      <c r="AR202" s="6">
        <f t="shared" si="71"/>
        <v>1</v>
      </c>
      <c r="AS202" s="6">
        <f t="shared" si="72"/>
        <v>1.6931933626820182E-2</v>
      </c>
      <c r="AT202" s="6">
        <f t="shared" si="73"/>
        <v>0.16889890658451515</v>
      </c>
      <c r="AU202" s="6">
        <f t="shared" si="74"/>
        <v>8.5236958745312175E-2</v>
      </c>
      <c r="AV202" s="5">
        <f t="shared" si="75"/>
        <v>0</v>
      </c>
      <c r="AW202" s="5">
        <f t="shared" si="76"/>
        <v>0</v>
      </c>
      <c r="AX202" s="5">
        <f t="shared" si="77"/>
        <v>0</v>
      </c>
      <c r="AY202" s="5">
        <f t="shared" si="78"/>
        <v>5</v>
      </c>
      <c r="AZ202" s="5">
        <f t="shared" si="79"/>
        <v>0</v>
      </c>
    </row>
    <row r="203" spans="1:52" x14ac:dyDescent="0.3">
      <c r="A203" s="5" t="s">
        <v>52</v>
      </c>
      <c r="B203" s="5" t="s">
        <v>62</v>
      </c>
      <c r="C203" s="5" t="s">
        <v>54</v>
      </c>
      <c r="D203" s="5" t="s">
        <v>61</v>
      </c>
      <c r="E203" s="5" t="s">
        <v>55</v>
      </c>
      <c r="F203" s="5">
        <v>2</v>
      </c>
      <c r="G203" s="5">
        <v>0.04</v>
      </c>
      <c r="H203" s="5" t="b">
        <v>0</v>
      </c>
      <c r="I203" s="5" t="b">
        <v>1</v>
      </c>
      <c r="J203" s="5" t="b">
        <v>0</v>
      </c>
      <c r="K203" s="5">
        <v>2.9529999999999998</v>
      </c>
      <c r="L203" s="5">
        <v>5.1999999999999998E-2</v>
      </c>
      <c r="M203" s="5">
        <v>-5.8000000000000003E-2</v>
      </c>
      <c r="N203" s="5">
        <v>39.259</v>
      </c>
      <c r="O203" s="5">
        <v>0.127</v>
      </c>
      <c r="P203" s="5">
        <v>5.0000000000000001E-3</v>
      </c>
      <c r="Q203" s="6">
        <v>1E-3</v>
      </c>
      <c r="R203" s="6">
        <v>0.18</v>
      </c>
      <c r="S203" s="7">
        <v>2601.34</v>
      </c>
      <c r="T203" s="5">
        <v>1838.375</v>
      </c>
      <c r="U203" s="5">
        <v>1.351</v>
      </c>
      <c r="V203" s="5">
        <v>2.0430000000000001</v>
      </c>
      <c r="W203" s="5">
        <v>1.222</v>
      </c>
      <c r="X203" s="5">
        <v>3.0790000000000002</v>
      </c>
      <c r="Y203" s="5">
        <v>7.6959999999999997</v>
      </c>
      <c r="Z203" s="5">
        <v>5264</v>
      </c>
      <c r="AA203" s="5">
        <v>5270</v>
      </c>
      <c r="AB203" s="5">
        <v>5270</v>
      </c>
      <c r="AC203" s="5">
        <v>0.06</v>
      </c>
      <c r="AD203" s="5">
        <v>2.5000000000000001E-2</v>
      </c>
      <c r="AE203" s="5">
        <v>-1.4E-2</v>
      </c>
      <c r="AF203" s="5">
        <v>-2.2919999999999999E-2</v>
      </c>
      <c r="AG203" s="5">
        <v>-1.192E-2</v>
      </c>
      <c r="AH203" s="5">
        <v>-0.14000000000000001</v>
      </c>
      <c r="AI203" s="5">
        <v>-0.13625999999999999</v>
      </c>
      <c r="AJ203" s="5">
        <v>2.7299999999999998E-3</v>
      </c>
      <c r="AK203" s="5">
        <v>4.4999999999999999E-4</v>
      </c>
      <c r="AL203" s="5">
        <v>0</v>
      </c>
      <c r="AM203" s="5">
        <v>0</v>
      </c>
      <c r="AN203" s="5">
        <v>0.105</v>
      </c>
      <c r="AO203" s="6">
        <f t="shared" si="68"/>
        <v>0.99886148007590136</v>
      </c>
      <c r="AP203" s="5">
        <f t="shared" si="69"/>
        <v>6</v>
      </c>
      <c r="AQ203" s="8">
        <f t="shared" si="70"/>
        <v>1.8461538461538463E-2</v>
      </c>
      <c r="AR203" s="6">
        <f t="shared" si="71"/>
        <v>1</v>
      </c>
      <c r="AS203" s="6">
        <f t="shared" si="72"/>
        <v>2.031832035218422E-2</v>
      </c>
      <c r="AT203" s="6">
        <f t="shared" si="73"/>
        <v>0.1370781608033014</v>
      </c>
      <c r="AU203" s="6">
        <f t="shared" si="74"/>
        <v>8.1492950859749405E-2</v>
      </c>
      <c r="AV203" s="5">
        <f t="shared" si="75"/>
        <v>0</v>
      </c>
      <c r="AW203" s="5">
        <f t="shared" si="76"/>
        <v>0</v>
      </c>
      <c r="AX203" s="5">
        <f t="shared" si="77"/>
        <v>0</v>
      </c>
      <c r="AY203" s="5">
        <f t="shared" si="78"/>
        <v>5</v>
      </c>
      <c r="AZ203" s="5">
        <f t="shared" si="79"/>
        <v>0</v>
      </c>
    </row>
    <row r="204" spans="1:52" x14ac:dyDescent="0.3">
      <c r="A204" s="5" t="s">
        <v>52</v>
      </c>
      <c r="B204" s="5" t="s">
        <v>62</v>
      </c>
      <c r="C204" s="5" t="s">
        <v>54</v>
      </c>
      <c r="D204" s="5" t="s">
        <v>61</v>
      </c>
      <c r="E204" s="5" t="s">
        <v>55</v>
      </c>
      <c r="F204" s="5">
        <v>2</v>
      </c>
      <c r="G204" s="5">
        <v>0.04</v>
      </c>
      <c r="H204" s="5" t="b">
        <v>0</v>
      </c>
      <c r="I204" s="5" t="b">
        <v>1</v>
      </c>
      <c r="J204" s="5" t="b">
        <v>0</v>
      </c>
      <c r="K204" s="5">
        <v>2.9529999999999998</v>
      </c>
      <c r="L204" s="5">
        <v>5.1999999999999998E-2</v>
      </c>
      <c r="M204" s="5">
        <v>-5.8000000000000003E-2</v>
      </c>
      <c r="N204" s="5">
        <v>71.081999999999994</v>
      </c>
      <c r="O204" s="5">
        <v>8.4000000000000005E-2</v>
      </c>
      <c r="P204" s="5">
        <v>5.0000000000000001E-3</v>
      </c>
      <c r="Q204" s="6">
        <v>1E-3</v>
      </c>
      <c r="R204" s="6">
        <v>0.18</v>
      </c>
      <c r="S204" s="7">
        <v>2613.8609999999999</v>
      </c>
      <c r="T204" s="5">
        <v>1838.375</v>
      </c>
      <c r="U204" s="5">
        <v>1.397</v>
      </c>
      <c r="V204" s="5">
        <v>2.2010000000000001</v>
      </c>
      <c r="W204" s="5">
        <v>1.2709999999999999</v>
      </c>
      <c r="X204" s="5">
        <v>3.194</v>
      </c>
      <c r="Y204" s="5">
        <v>8.0640000000000001</v>
      </c>
      <c r="Z204" s="5">
        <v>5263</v>
      </c>
      <c r="AA204" s="5">
        <v>5270</v>
      </c>
      <c r="AB204" s="5">
        <v>5270</v>
      </c>
      <c r="AC204" s="5">
        <v>0.06</v>
      </c>
      <c r="AD204" s="5">
        <v>0.03</v>
      </c>
      <c r="AE204" s="5">
        <v>2E-3</v>
      </c>
      <c r="AF204" s="5">
        <v>-1.519E-2</v>
      </c>
      <c r="AG204" s="5">
        <v>1.6809999999999999E-2</v>
      </c>
      <c r="AH204" s="5">
        <v>-0.12</v>
      </c>
      <c r="AI204" s="5">
        <v>-0.11763999999999999</v>
      </c>
      <c r="AJ204" s="5">
        <v>1.49E-3</v>
      </c>
      <c r="AK204" s="5">
        <v>1.1000000000000001E-3</v>
      </c>
      <c r="AL204" s="5">
        <v>0</v>
      </c>
      <c r="AM204" s="5">
        <v>0</v>
      </c>
      <c r="AN204" s="5">
        <v>9.0999999999999998E-2</v>
      </c>
      <c r="AO204" s="6">
        <f t="shared" si="68"/>
        <v>0.9986717267552182</v>
      </c>
      <c r="AP204" s="5">
        <f t="shared" si="69"/>
        <v>7</v>
      </c>
      <c r="AQ204" s="8">
        <f t="shared" si="70"/>
        <v>2.1538461538461538E-2</v>
      </c>
      <c r="AR204" s="6">
        <f t="shared" si="71"/>
        <v>1</v>
      </c>
      <c r="AS204" s="6">
        <f t="shared" si="72"/>
        <v>2.3704707077548254E-2</v>
      </c>
      <c r="AT204" s="6">
        <f t="shared" si="73"/>
        <v>0.11894200551417218</v>
      </c>
      <c r="AU204" s="6">
        <f t="shared" si="74"/>
        <v>7.9865825413307362E-2</v>
      </c>
      <c r="AV204" s="5">
        <f t="shared" si="75"/>
        <v>0</v>
      </c>
      <c r="AW204" s="5">
        <f t="shared" si="76"/>
        <v>0</v>
      </c>
      <c r="AX204" s="5">
        <f t="shared" si="77"/>
        <v>0</v>
      </c>
      <c r="AY204" s="5">
        <f t="shared" si="78"/>
        <v>5</v>
      </c>
      <c r="AZ204" s="5">
        <f t="shared" si="79"/>
        <v>0</v>
      </c>
    </row>
    <row r="205" spans="1:52" x14ac:dyDescent="0.3">
      <c r="A205" s="5" t="s">
        <v>52</v>
      </c>
      <c r="B205" s="5" t="s">
        <v>62</v>
      </c>
      <c r="C205" s="5" t="s">
        <v>54</v>
      </c>
      <c r="D205" s="5" t="s">
        <v>61</v>
      </c>
      <c r="E205" s="5" t="s">
        <v>55</v>
      </c>
      <c r="F205" s="5">
        <v>2</v>
      </c>
      <c r="G205" s="5">
        <v>0.04</v>
      </c>
      <c r="H205" s="5" t="b">
        <v>0</v>
      </c>
      <c r="I205" s="5" t="b">
        <v>1</v>
      </c>
      <c r="J205" s="5" t="b">
        <v>0</v>
      </c>
      <c r="K205" s="5">
        <v>2.9529999999999998</v>
      </c>
      <c r="L205" s="5">
        <v>5.1999999999999998E-2</v>
      </c>
      <c r="M205" s="5">
        <v>-5.8000000000000003E-2</v>
      </c>
      <c r="N205" s="5">
        <v>86.355000000000004</v>
      </c>
      <c r="O205" s="5">
        <v>8.1000000000000003E-2</v>
      </c>
      <c r="P205" s="5">
        <v>5.0000000000000001E-3</v>
      </c>
      <c r="Q205" s="6">
        <v>1E-3</v>
      </c>
      <c r="R205" s="6">
        <v>0.18</v>
      </c>
      <c r="S205" s="7">
        <v>2625.6590000000001</v>
      </c>
      <c r="T205" s="5">
        <v>1838.375</v>
      </c>
      <c r="U205" s="5">
        <v>1.3340000000000001</v>
      </c>
      <c r="V205" s="5">
        <v>1.9750000000000001</v>
      </c>
      <c r="W205" s="5">
        <v>1.2310000000000001</v>
      </c>
      <c r="X205" s="5">
        <v>3.3220000000000001</v>
      </c>
      <c r="Y205" s="5">
        <v>7.8620000000000001</v>
      </c>
      <c r="Z205" s="5">
        <v>5262</v>
      </c>
      <c r="AA205" s="5">
        <v>5270</v>
      </c>
      <c r="AB205" s="5">
        <v>5270</v>
      </c>
      <c r="AC205" s="5">
        <v>0.06</v>
      </c>
      <c r="AD205" s="5">
        <v>3.5000000000000003E-2</v>
      </c>
      <c r="AE205" s="5">
        <v>1.7000000000000001E-2</v>
      </c>
      <c r="AF205" s="5">
        <v>-1.4590000000000001E-2</v>
      </c>
      <c r="AG205" s="5">
        <v>3.7409999999999999E-2</v>
      </c>
      <c r="AH205" s="5">
        <v>-0.08</v>
      </c>
      <c r="AI205" s="5">
        <v>-0.10029</v>
      </c>
      <c r="AJ205" s="5">
        <v>1.47E-3</v>
      </c>
      <c r="AK205" s="5">
        <v>1.66E-3</v>
      </c>
      <c r="AL205" s="5">
        <v>0</v>
      </c>
      <c r="AM205" s="5">
        <v>0</v>
      </c>
      <c r="AN205" s="5">
        <v>0.13400000000000001</v>
      </c>
      <c r="AO205" s="6">
        <f t="shared" si="68"/>
        <v>0.99848197343453515</v>
      </c>
      <c r="AP205" s="5">
        <f t="shared" si="69"/>
        <v>8</v>
      </c>
      <c r="AQ205" s="8">
        <f t="shared" si="70"/>
        <v>2.4615384615384615E-2</v>
      </c>
      <c r="AR205" s="6">
        <f t="shared" si="71"/>
        <v>1</v>
      </c>
      <c r="AS205" s="6">
        <f t="shared" si="72"/>
        <v>2.7091093802912292E-2</v>
      </c>
      <c r="AT205" s="6">
        <f t="shared" si="73"/>
        <v>0.10103564348168648</v>
      </c>
      <c r="AU205" s="6">
        <f t="shared" si="74"/>
        <v>8.4760128835394188E-2</v>
      </c>
      <c r="AV205" s="5">
        <f t="shared" si="75"/>
        <v>0</v>
      </c>
      <c r="AW205" s="5">
        <f t="shared" si="76"/>
        <v>0</v>
      </c>
      <c r="AX205" s="5">
        <f t="shared" si="77"/>
        <v>0</v>
      </c>
      <c r="AY205" s="5">
        <f t="shared" si="78"/>
        <v>5</v>
      </c>
      <c r="AZ205" s="5">
        <f t="shared" si="79"/>
        <v>0</v>
      </c>
    </row>
    <row r="206" spans="1:52" x14ac:dyDescent="0.3">
      <c r="A206" s="5" t="s">
        <v>52</v>
      </c>
      <c r="B206" s="5" t="s">
        <v>62</v>
      </c>
      <c r="C206" s="5" t="s">
        <v>54</v>
      </c>
      <c r="D206" s="5" t="s">
        <v>61</v>
      </c>
      <c r="E206" s="5" t="s">
        <v>55</v>
      </c>
      <c r="F206" s="5">
        <v>2</v>
      </c>
      <c r="G206" s="5">
        <v>0.04</v>
      </c>
      <c r="H206" s="5" t="b">
        <v>0</v>
      </c>
      <c r="I206" s="5" t="b">
        <v>1</v>
      </c>
      <c r="J206" s="5" t="b">
        <v>0</v>
      </c>
      <c r="K206" s="5">
        <v>2.9529999999999998</v>
      </c>
      <c r="L206" s="5">
        <v>5.1999999999999998E-2</v>
      </c>
      <c r="M206" s="5">
        <v>-5.8000000000000003E-2</v>
      </c>
      <c r="N206" s="5">
        <v>97.667000000000002</v>
      </c>
      <c r="O206" s="5">
        <v>8.2000000000000003E-2</v>
      </c>
      <c r="P206" s="5">
        <v>5.0000000000000001E-3</v>
      </c>
      <c r="Q206" s="6">
        <v>1E-3</v>
      </c>
      <c r="R206" s="6">
        <v>0.18</v>
      </c>
      <c r="S206" s="7">
        <v>2637.3670000000002</v>
      </c>
      <c r="T206" s="5">
        <v>1838.375</v>
      </c>
      <c r="U206" s="5">
        <v>1.6930000000000001</v>
      </c>
      <c r="V206" s="5">
        <v>1.9750000000000001</v>
      </c>
      <c r="W206" s="5">
        <v>1.3120000000000001</v>
      </c>
      <c r="X206" s="5">
        <v>3.246</v>
      </c>
      <c r="Y206" s="5">
        <v>8.2279999999999998</v>
      </c>
      <c r="Z206" s="5">
        <v>5263</v>
      </c>
      <c r="AA206" s="5">
        <v>5270</v>
      </c>
      <c r="AB206" s="5">
        <v>5270</v>
      </c>
      <c r="AC206" s="5">
        <v>0.06</v>
      </c>
      <c r="AD206" s="5">
        <v>0.04</v>
      </c>
      <c r="AE206" s="5">
        <v>0.03</v>
      </c>
      <c r="AF206" s="5">
        <v>-1.474E-2</v>
      </c>
      <c r="AG206" s="5">
        <v>5.5259999999999997E-2</v>
      </c>
      <c r="AH206" s="5">
        <v>-0.04</v>
      </c>
      <c r="AI206" s="5">
        <v>-4.9979999999999997E-2</v>
      </c>
      <c r="AJ206" s="5">
        <v>4.3E-3</v>
      </c>
      <c r="AK206" s="5">
        <v>2.5799999999999998E-3</v>
      </c>
      <c r="AL206" s="5">
        <v>0</v>
      </c>
      <c r="AM206" s="5">
        <v>0</v>
      </c>
      <c r="AN206" s="5">
        <v>0.17399999999999999</v>
      </c>
      <c r="AO206" s="6">
        <f t="shared" si="68"/>
        <v>0.9986717267552182</v>
      </c>
      <c r="AP206" s="5">
        <f t="shared" si="69"/>
        <v>7</v>
      </c>
      <c r="AQ206" s="8">
        <f t="shared" si="70"/>
        <v>2.1538461538461538E-2</v>
      </c>
      <c r="AR206" s="6">
        <f t="shared" si="71"/>
        <v>1</v>
      </c>
      <c r="AS206" s="6">
        <f t="shared" si="72"/>
        <v>2.3704707077548254E-2</v>
      </c>
      <c r="AT206" s="6">
        <f t="shared" si="73"/>
        <v>4.9188835907069801E-2</v>
      </c>
      <c r="AU206" s="6">
        <f t="shared" si="74"/>
        <v>-8.5411684318414144E-2</v>
      </c>
      <c r="AV206" s="5">
        <f t="shared" si="75"/>
        <v>0</v>
      </c>
      <c r="AW206" s="5">
        <f t="shared" si="76"/>
        <v>0</v>
      </c>
      <c r="AX206" s="5">
        <f t="shared" si="77"/>
        <v>0</v>
      </c>
      <c r="AY206" s="5">
        <f t="shared" si="78"/>
        <v>5</v>
      </c>
      <c r="AZ206" s="5">
        <f t="shared" si="79"/>
        <v>0</v>
      </c>
    </row>
    <row r="207" spans="1:52" x14ac:dyDescent="0.3">
      <c r="A207" s="5" t="s">
        <v>52</v>
      </c>
      <c r="B207" s="5" t="s">
        <v>62</v>
      </c>
      <c r="C207" s="5" t="s">
        <v>54</v>
      </c>
      <c r="D207" s="5" t="s">
        <v>61</v>
      </c>
      <c r="E207" s="5" t="s">
        <v>55</v>
      </c>
      <c r="F207" s="5">
        <v>2</v>
      </c>
      <c r="G207" s="5">
        <v>0.04</v>
      </c>
      <c r="H207" s="5" t="b">
        <v>0</v>
      </c>
      <c r="I207" s="5" t="b">
        <v>1</v>
      </c>
      <c r="J207" s="5" t="b">
        <v>0</v>
      </c>
      <c r="K207" s="5">
        <v>2.9529999999999998</v>
      </c>
      <c r="L207" s="5">
        <v>5.1999999999999998E-2</v>
      </c>
      <c r="M207" s="5">
        <v>-5.8000000000000003E-2</v>
      </c>
      <c r="N207" s="5">
        <v>4125.223</v>
      </c>
      <c r="O207" s="5">
        <v>2E-3</v>
      </c>
      <c r="P207" s="5">
        <v>5.0000000000000001E-3</v>
      </c>
      <c r="Q207" s="6">
        <v>1E-3</v>
      </c>
      <c r="R207" s="6">
        <v>0.18</v>
      </c>
      <c r="S207" s="7">
        <v>2650.8020000000001</v>
      </c>
      <c r="T207" s="5">
        <v>1838.375</v>
      </c>
      <c r="U207" s="5">
        <v>1.3260000000000001</v>
      </c>
      <c r="V207" s="5">
        <v>2.0099999999999998</v>
      </c>
      <c r="W207" s="5">
        <v>1.3160000000000001</v>
      </c>
      <c r="X207" s="5">
        <v>3.2869999999999999</v>
      </c>
      <c r="Y207" s="5">
        <v>7.94</v>
      </c>
      <c r="Z207" s="5">
        <v>5263</v>
      </c>
      <c r="AA207" s="5">
        <v>5270</v>
      </c>
      <c r="AB207" s="5">
        <v>5270</v>
      </c>
      <c r="AC207" s="5">
        <v>0.06</v>
      </c>
      <c r="AD207" s="5">
        <v>3.5000000000000003E-2</v>
      </c>
      <c r="AE207" s="5">
        <v>3.9E-2</v>
      </c>
      <c r="AF207" s="5">
        <v>-3.1E-4</v>
      </c>
      <c r="AG207" s="5">
        <v>7.3690000000000005E-2</v>
      </c>
      <c r="AH207" s="5">
        <v>-0.02</v>
      </c>
      <c r="AI207" s="5">
        <v>-3.2399999999999998E-2</v>
      </c>
      <c r="AJ207" s="5">
        <v>1.31E-3</v>
      </c>
      <c r="AK207" s="5">
        <v>2.2200000000000002E-3</v>
      </c>
      <c r="AL207" s="5">
        <v>0</v>
      </c>
      <c r="AM207" s="5">
        <v>0</v>
      </c>
      <c r="AN207" s="5">
        <v>0.28699999999999998</v>
      </c>
      <c r="AO207" s="6">
        <f t="shared" si="68"/>
        <v>0.9986717267552182</v>
      </c>
      <c r="AP207" s="5">
        <f t="shared" si="69"/>
        <v>7</v>
      </c>
      <c r="AQ207" s="8">
        <f t="shared" si="70"/>
        <v>2.1538461538461538E-2</v>
      </c>
      <c r="AR207" s="6">
        <f t="shared" si="71"/>
        <v>1</v>
      </c>
      <c r="AS207" s="6">
        <f t="shared" si="72"/>
        <v>2.3704707077548254E-2</v>
      </c>
      <c r="AT207" s="6">
        <f t="shared" si="73"/>
        <v>3.2141444158007362E-2</v>
      </c>
      <c r="AU207" s="6">
        <f t="shared" si="74"/>
        <v>0</v>
      </c>
      <c r="AV207" s="5">
        <f t="shared" si="75"/>
        <v>0</v>
      </c>
      <c r="AW207" s="5">
        <f t="shared" si="76"/>
        <v>0</v>
      </c>
      <c r="AX207" s="5">
        <f t="shared" si="77"/>
        <v>0</v>
      </c>
      <c r="AY207" s="5">
        <f t="shared" si="78"/>
        <v>5</v>
      </c>
      <c r="AZ207" s="5">
        <f t="shared" si="79"/>
        <v>0</v>
      </c>
    </row>
    <row r="208" spans="1:52" x14ac:dyDescent="0.3">
      <c r="A208" s="5" t="s">
        <v>52</v>
      </c>
      <c r="B208" s="5" t="s">
        <v>62</v>
      </c>
      <c r="C208" s="5" t="s">
        <v>54</v>
      </c>
      <c r="D208" s="5" t="s">
        <v>58</v>
      </c>
      <c r="E208" s="5" t="s">
        <v>55</v>
      </c>
      <c r="F208" s="5">
        <v>2</v>
      </c>
      <c r="G208" s="5">
        <v>0.04</v>
      </c>
      <c r="H208" s="5" t="b">
        <v>0</v>
      </c>
      <c r="I208" s="5" t="b">
        <v>1</v>
      </c>
      <c r="J208" s="5" t="b">
        <v>0</v>
      </c>
      <c r="K208" s="5">
        <v>2.9529999999999998</v>
      </c>
      <c r="L208" s="5">
        <v>5.1999999999999998E-2</v>
      </c>
      <c r="M208" s="5">
        <v>-5.8000000000000003E-2</v>
      </c>
      <c r="N208" s="5">
        <v>-169.00899999999999</v>
      </c>
      <c r="O208" s="5">
        <v>-4.1000000000000002E-2</v>
      </c>
      <c r="P208" s="5">
        <v>5.0000000000000001E-3</v>
      </c>
      <c r="Q208" s="6">
        <v>1E-3</v>
      </c>
      <c r="R208" s="6">
        <v>0.18</v>
      </c>
      <c r="S208" s="7">
        <v>2662.5039999999999</v>
      </c>
      <c r="T208" s="5">
        <v>1838.375</v>
      </c>
      <c r="U208" s="5">
        <v>1.3320000000000001</v>
      </c>
      <c r="V208" s="5">
        <v>2.044</v>
      </c>
      <c r="W208" s="5">
        <v>1.2190000000000001</v>
      </c>
      <c r="X208" s="5">
        <v>3.1179999999999999</v>
      </c>
      <c r="Y208" s="5">
        <v>7.7149999999999999</v>
      </c>
      <c r="Z208" s="5">
        <v>5264</v>
      </c>
      <c r="AA208" s="5">
        <v>5270</v>
      </c>
      <c r="AB208" s="5">
        <v>5270</v>
      </c>
      <c r="AC208" s="5">
        <v>0.06</v>
      </c>
      <c r="AD208" s="5">
        <v>3.5000000000000003E-2</v>
      </c>
      <c r="AE208" s="5">
        <v>4.5999999999999999E-2</v>
      </c>
      <c r="AF208" s="5">
        <v>-7.4599999999999996E-3</v>
      </c>
      <c r="AG208" s="5">
        <v>7.3539999999999994E-2</v>
      </c>
      <c r="AH208" s="5">
        <v>0.02</v>
      </c>
      <c r="AI208" s="5">
        <v>0</v>
      </c>
      <c r="AJ208" s="5">
        <v>2.7699999999999999E-3</v>
      </c>
      <c r="AK208" s="5">
        <v>2.2300000000000002E-3</v>
      </c>
      <c r="AL208" s="5">
        <v>0</v>
      </c>
      <c r="AM208" s="5">
        <v>0</v>
      </c>
      <c r="AN208" s="5">
        <v>0.29099999999999998</v>
      </c>
      <c r="AO208" s="6">
        <f t="shared" si="68"/>
        <v>0.99886148007590136</v>
      </c>
      <c r="AP208" s="5">
        <f t="shared" si="69"/>
        <v>6</v>
      </c>
      <c r="AQ208" s="8">
        <f t="shared" si="70"/>
        <v>1.8461538461538463E-2</v>
      </c>
      <c r="AR208" s="6">
        <f t="shared" si="71"/>
        <v>1</v>
      </c>
      <c r="AS208" s="6">
        <f t="shared" si="72"/>
        <v>2.031832035218422E-2</v>
      </c>
      <c r="AT208" s="6">
        <f t="shared" si="73"/>
        <v>-1.2482415531669178E-3</v>
      </c>
      <c r="AU208" s="6">
        <f t="shared" si="74"/>
        <v>-8.5455477696121995E-2</v>
      </c>
      <c r="AV208" s="5">
        <f t="shared" si="75"/>
        <v>0</v>
      </c>
      <c r="AW208" s="5">
        <f t="shared" si="76"/>
        <v>0</v>
      </c>
      <c r="AX208" s="5">
        <f t="shared" si="77"/>
        <v>0</v>
      </c>
      <c r="AY208" s="5">
        <f t="shared" si="78"/>
        <v>5</v>
      </c>
      <c r="AZ208" s="5">
        <f t="shared" si="79"/>
        <v>0</v>
      </c>
    </row>
    <row r="209" spans="1:52" x14ac:dyDescent="0.3">
      <c r="A209" s="5" t="s">
        <v>52</v>
      </c>
      <c r="B209" s="5" t="s">
        <v>62</v>
      </c>
      <c r="C209" s="5" t="s">
        <v>54</v>
      </c>
      <c r="D209" s="5" t="s">
        <v>58</v>
      </c>
      <c r="E209" s="5" t="s">
        <v>55</v>
      </c>
      <c r="F209" s="5">
        <v>2</v>
      </c>
      <c r="G209" s="5">
        <v>0.04</v>
      </c>
      <c r="H209" s="5" t="b">
        <v>0</v>
      </c>
      <c r="I209" s="5" t="b">
        <v>1</v>
      </c>
      <c r="J209" s="5" t="b">
        <v>0</v>
      </c>
      <c r="K209" s="5">
        <v>2.9529999999999998</v>
      </c>
      <c r="L209" s="5">
        <v>5.1999999999999998E-2</v>
      </c>
      <c r="M209" s="5">
        <v>-5.8000000000000003E-2</v>
      </c>
      <c r="N209" s="5">
        <v>-137.351</v>
      </c>
      <c r="O209" s="5">
        <v>-4.3999999999999997E-2</v>
      </c>
      <c r="P209" s="5">
        <v>5.0000000000000001E-3</v>
      </c>
      <c r="Q209" s="6">
        <v>1E-3</v>
      </c>
      <c r="R209" s="6">
        <v>0.18</v>
      </c>
      <c r="S209" s="7">
        <v>2673.8919999999998</v>
      </c>
      <c r="T209" s="5">
        <v>1838.375</v>
      </c>
      <c r="U209" s="5">
        <v>1.38</v>
      </c>
      <c r="V209" s="5">
        <v>2.0350000000000001</v>
      </c>
      <c r="W209" s="5">
        <v>1.266</v>
      </c>
      <c r="X209" s="5">
        <v>4.2389999999999999</v>
      </c>
      <c r="Y209" s="5">
        <v>8.9209999999999994</v>
      </c>
      <c r="Z209" s="5">
        <v>5266</v>
      </c>
      <c r="AA209" s="5">
        <v>5270</v>
      </c>
      <c r="AB209" s="5">
        <v>5270</v>
      </c>
      <c r="AC209" s="5">
        <v>0.06</v>
      </c>
      <c r="AD209" s="5">
        <v>0.03</v>
      </c>
      <c r="AE209" s="5">
        <v>0.05</v>
      </c>
      <c r="AF209" s="5">
        <v>-7.8600000000000007E-3</v>
      </c>
      <c r="AG209" s="5">
        <v>7.2139999999999996E-2</v>
      </c>
      <c r="AH209" s="5">
        <v>0.04</v>
      </c>
      <c r="AI209" s="5">
        <v>4.9970000000000001E-2</v>
      </c>
      <c r="AJ209" s="5">
        <v>4.3899999999999998E-3</v>
      </c>
      <c r="AK209" s="5">
        <v>2.7899999999999999E-3</v>
      </c>
      <c r="AL209" s="5">
        <v>0</v>
      </c>
      <c r="AM209" s="5">
        <v>0</v>
      </c>
      <c r="AN209" s="5">
        <v>0.247</v>
      </c>
      <c r="AO209" s="6">
        <f t="shared" si="68"/>
        <v>0.99924098671726758</v>
      </c>
      <c r="AP209" s="5">
        <f t="shared" si="69"/>
        <v>4</v>
      </c>
      <c r="AQ209" s="8">
        <f t="shared" si="70"/>
        <v>1.2307692307692308E-2</v>
      </c>
      <c r="AR209" s="6">
        <f t="shared" si="71"/>
        <v>1</v>
      </c>
      <c r="AS209" s="6">
        <f t="shared" si="72"/>
        <v>1.3545546901456146E-2</v>
      </c>
      <c r="AT209" s="6">
        <f t="shared" si="73"/>
        <v>-5.2346099294767877E-2</v>
      </c>
      <c r="AU209" s="6">
        <f t="shared" si="74"/>
        <v>-0.17562346329469741</v>
      </c>
      <c r="AV209" s="5">
        <f t="shared" si="75"/>
        <v>0</v>
      </c>
      <c r="AW209" s="5">
        <f t="shared" si="76"/>
        <v>0</v>
      </c>
      <c r="AX209" s="5">
        <f t="shared" si="77"/>
        <v>0</v>
      </c>
      <c r="AY209" s="5">
        <f t="shared" si="78"/>
        <v>5</v>
      </c>
      <c r="AZ209" s="5">
        <f t="shared" si="79"/>
        <v>5</v>
      </c>
    </row>
    <row r="210" spans="1:52" x14ac:dyDescent="0.3">
      <c r="A210" s="5" t="s">
        <v>52</v>
      </c>
      <c r="B210" s="5" t="s">
        <v>62</v>
      </c>
      <c r="C210" s="5" t="s">
        <v>54</v>
      </c>
      <c r="D210" s="5" t="s">
        <v>58</v>
      </c>
      <c r="E210" s="5" t="s">
        <v>55</v>
      </c>
      <c r="F210" s="5">
        <v>2</v>
      </c>
      <c r="G210" s="5">
        <v>0.04</v>
      </c>
      <c r="H210" s="5" t="b">
        <v>0</v>
      </c>
      <c r="I210" s="5" t="b">
        <v>1</v>
      </c>
      <c r="J210" s="5" t="b">
        <v>0</v>
      </c>
      <c r="K210" s="5">
        <v>2.9529999999999998</v>
      </c>
      <c r="L210" s="5">
        <v>5.1999999999999998E-2</v>
      </c>
      <c r="M210" s="5">
        <v>-5.8000000000000003E-2</v>
      </c>
      <c r="N210" s="5">
        <v>-32.497</v>
      </c>
      <c r="O210" s="5">
        <v>-0.123</v>
      </c>
      <c r="P210" s="5">
        <v>5.0000000000000001E-3</v>
      </c>
      <c r="Q210" s="6">
        <v>1E-3</v>
      </c>
      <c r="R210" s="6">
        <v>0.18</v>
      </c>
      <c r="S210" s="7">
        <v>2686.569</v>
      </c>
      <c r="T210" s="5">
        <v>1838.375</v>
      </c>
      <c r="U210" s="5">
        <v>1.407</v>
      </c>
      <c r="V210" s="5">
        <v>2.0230000000000001</v>
      </c>
      <c r="W210" s="5">
        <v>1.286</v>
      </c>
      <c r="X210" s="5">
        <v>3.21</v>
      </c>
      <c r="Y210" s="5">
        <v>7.9279999999999999</v>
      </c>
      <c r="Z210" s="5">
        <v>5268</v>
      </c>
      <c r="AA210" s="5">
        <v>5270</v>
      </c>
      <c r="AB210" s="5">
        <v>5270</v>
      </c>
      <c r="AC210" s="5">
        <v>0.06</v>
      </c>
      <c r="AD210" s="5">
        <v>0.02</v>
      </c>
      <c r="AE210" s="5">
        <v>0.05</v>
      </c>
      <c r="AF210" s="5">
        <v>-2.2159999999999999E-2</v>
      </c>
      <c r="AG210" s="5">
        <v>4.7840000000000001E-2</v>
      </c>
      <c r="AH210" s="5">
        <v>0.1</v>
      </c>
      <c r="AI210" s="5">
        <v>9.851E-2</v>
      </c>
      <c r="AJ210" s="5">
        <v>3.8300000000000001E-3</v>
      </c>
      <c r="AK210" s="5">
        <v>3.2599999999999999E-3</v>
      </c>
      <c r="AL210" s="5">
        <v>0</v>
      </c>
      <c r="AM210" s="5">
        <v>0</v>
      </c>
      <c r="AN210" s="5">
        <v>0.193</v>
      </c>
      <c r="AO210" s="6">
        <f t="shared" si="68"/>
        <v>0.99962049335863379</v>
      </c>
      <c r="AP210" s="5">
        <f t="shared" si="69"/>
        <v>2</v>
      </c>
      <c r="AQ210" s="8">
        <f t="shared" si="70"/>
        <v>6.1538461538461538E-3</v>
      </c>
      <c r="AR210" s="6">
        <f t="shared" si="71"/>
        <v>1</v>
      </c>
      <c r="AS210" s="6">
        <f t="shared" si="72"/>
        <v>6.7727734507280731E-3</v>
      </c>
      <c r="AT210" s="6">
        <f t="shared" si="73"/>
        <v>-0.10085133165646656</v>
      </c>
      <c r="AU210" s="6">
        <f t="shared" si="74"/>
        <v>-0.15776603297309921</v>
      </c>
      <c r="AV210" s="5">
        <f t="shared" si="75"/>
        <v>0</v>
      </c>
      <c r="AW210" s="5">
        <f t="shared" si="76"/>
        <v>0</v>
      </c>
      <c r="AX210" s="5">
        <f t="shared" si="77"/>
        <v>0</v>
      </c>
      <c r="AY210" s="5">
        <f t="shared" si="78"/>
        <v>5</v>
      </c>
      <c r="AZ210" s="5">
        <f t="shared" si="79"/>
        <v>5</v>
      </c>
    </row>
    <row r="211" spans="1:52" x14ac:dyDescent="0.3">
      <c r="A211" s="5" t="s">
        <v>52</v>
      </c>
      <c r="B211" s="5" t="s">
        <v>62</v>
      </c>
      <c r="C211" s="5" t="s">
        <v>54</v>
      </c>
      <c r="D211" s="5" t="s">
        <v>58</v>
      </c>
      <c r="E211" s="5" t="s">
        <v>55</v>
      </c>
      <c r="F211" s="5">
        <v>2</v>
      </c>
      <c r="G211" s="5">
        <v>0.04</v>
      </c>
      <c r="H211" s="5" t="b">
        <v>0</v>
      </c>
      <c r="I211" s="5" t="b">
        <v>1</v>
      </c>
      <c r="J211" s="5" t="b">
        <v>0</v>
      </c>
      <c r="K211" s="5">
        <v>2.9529999999999998</v>
      </c>
      <c r="L211" s="5">
        <v>5.1999999999999998E-2</v>
      </c>
      <c r="M211" s="5">
        <v>-5.8000000000000003E-2</v>
      </c>
      <c r="N211" s="5">
        <v>-12.122</v>
      </c>
      <c r="O211" s="5">
        <v>-0.16500000000000001</v>
      </c>
      <c r="P211" s="5">
        <v>5.0000000000000001E-3</v>
      </c>
      <c r="Q211" s="6">
        <v>1E-3</v>
      </c>
      <c r="R211" s="6">
        <v>0.18</v>
      </c>
      <c r="S211" s="7">
        <v>2698.5729999999999</v>
      </c>
      <c r="T211" s="5">
        <v>1838.375</v>
      </c>
      <c r="U211" s="5">
        <v>1.891</v>
      </c>
      <c r="V211" s="5">
        <v>2.3050000000000002</v>
      </c>
      <c r="W211" s="5">
        <v>1.587</v>
      </c>
      <c r="X211" s="5">
        <v>3.2349999999999999</v>
      </c>
      <c r="Y211" s="5">
        <v>9.0190000000000001</v>
      </c>
      <c r="Z211" s="5">
        <v>5270</v>
      </c>
      <c r="AA211" s="5">
        <v>5270</v>
      </c>
      <c r="AB211" s="5">
        <v>5270</v>
      </c>
      <c r="AC211" s="5">
        <v>0.06</v>
      </c>
      <c r="AD211" s="5">
        <v>0.01</v>
      </c>
      <c r="AE211" s="5">
        <v>4.7E-2</v>
      </c>
      <c r="AF211" s="5">
        <v>-2.9700000000000001E-2</v>
      </c>
      <c r="AG211" s="5">
        <v>2.7300000000000001E-2</v>
      </c>
      <c r="AH211" s="5">
        <v>0.14000000000000001</v>
      </c>
      <c r="AI211" s="5">
        <v>0.11437</v>
      </c>
      <c r="AJ211" s="5">
        <v>1.32E-3</v>
      </c>
      <c r="AK211" s="5">
        <v>2.6900000000000001E-3</v>
      </c>
      <c r="AL211" s="5">
        <v>0</v>
      </c>
      <c r="AM211" s="5">
        <v>0</v>
      </c>
      <c r="AN211" s="5">
        <v>0.123</v>
      </c>
      <c r="AO211" s="6">
        <f t="shared" si="68"/>
        <v>1</v>
      </c>
      <c r="AP211" s="5">
        <f t="shared" si="69"/>
        <v>0</v>
      </c>
      <c r="AQ211" s="8">
        <f t="shared" si="70"/>
        <v>0</v>
      </c>
      <c r="AR211" s="6">
        <f t="shared" si="71"/>
        <v>1</v>
      </c>
      <c r="AS211" s="6">
        <f t="shared" si="72"/>
        <v>0</v>
      </c>
      <c r="AT211" s="6">
        <f t="shared" si="73"/>
        <v>-0.11709122071747576</v>
      </c>
      <c r="AU211" s="6">
        <f t="shared" si="74"/>
        <v>-0.16661112962346017</v>
      </c>
      <c r="AV211" s="5">
        <f t="shared" si="75"/>
        <v>0</v>
      </c>
      <c r="AW211" s="5">
        <f t="shared" si="76"/>
        <v>0</v>
      </c>
      <c r="AX211" s="5">
        <f t="shared" si="77"/>
        <v>0</v>
      </c>
      <c r="AY211" s="5">
        <f t="shared" si="78"/>
        <v>5</v>
      </c>
      <c r="AZ211" s="5">
        <f t="shared" si="79"/>
        <v>5</v>
      </c>
    </row>
    <row r="212" spans="1:52" x14ac:dyDescent="0.3">
      <c r="A212" s="5" t="s">
        <v>52</v>
      </c>
      <c r="B212" s="5" t="s">
        <v>62</v>
      </c>
      <c r="C212" s="5" t="s">
        <v>54</v>
      </c>
      <c r="D212" s="5" t="s">
        <v>58</v>
      </c>
      <c r="E212" s="5" t="s">
        <v>55</v>
      </c>
      <c r="F212" s="5">
        <v>2</v>
      </c>
      <c r="G212" s="5">
        <v>0.04</v>
      </c>
      <c r="H212" s="5" t="b">
        <v>0</v>
      </c>
      <c r="I212" s="5" t="b">
        <v>1</v>
      </c>
      <c r="J212" s="5" t="b">
        <v>0</v>
      </c>
      <c r="K212" s="5">
        <v>2.9529999999999998</v>
      </c>
      <c r="L212" s="5">
        <v>5.1999999999999998E-2</v>
      </c>
      <c r="M212" s="5">
        <v>-5.8000000000000003E-2</v>
      </c>
      <c r="N212" s="5">
        <v>0</v>
      </c>
      <c r="O212" s="5">
        <v>-0.16200000000000001</v>
      </c>
      <c r="P212" s="5">
        <v>5.0000000000000001E-3</v>
      </c>
      <c r="Q212" s="6">
        <v>1E-3</v>
      </c>
      <c r="R212" s="6">
        <v>0.18</v>
      </c>
      <c r="S212" s="7">
        <v>2711.8690000000001</v>
      </c>
      <c r="T212" s="5">
        <v>1838.375</v>
      </c>
      <c r="U212" s="5">
        <v>1.417</v>
      </c>
      <c r="V212" s="5">
        <v>2.1920000000000002</v>
      </c>
      <c r="W212" s="5">
        <v>1.4259999999999999</v>
      </c>
      <c r="X212" s="5">
        <v>3.4569999999999999</v>
      </c>
      <c r="Y212" s="5">
        <v>8.4930000000000003</v>
      </c>
      <c r="Z212" s="5">
        <v>5272</v>
      </c>
      <c r="AA212" s="5">
        <v>5270</v>
      </c>
      <c r="AB212" s="5">
        <v>5270</v>
      </c>
      <c r="AC212" s="5">
        <v>0.06</v>
      </c>
      <c r="AD212" s="5">
        <v>0</v>
      </c>
      <c r="AE212" s="5">
        <v>4.1000000000000002E-2</v>
      </c>
      <c r="AF212" s="5">
        <v>-2.913E-2</v>
      </c>
      <c r="AG212" s="5">
        <v>1.187E-2</v>
      </c>
      <c r="AH212" s="5">
        <v>0.14000000000000001</v>
      </c>
      <c r="AI212" s="5">
        <v>0.14738000000000001</v>
      </c>
      <c r="AJ212" s="5">
        <v>2.48E-3</v>
      </c>
      <c r="AK212" s="5">
        <v>2.9399999999999999E-3</v>
      </c>
      <c r="AL212" s="5">
        <v>0</v>
      </c>
      <c r="AM212" s="5">
        <v>0</v>
      </c>
      <c r="AN212" s="5">
        <v>3.2000000000000001E-2</v>
      </c>
      <c r="AO212" s="6">
        <f t="shared" si="68"/>
        <v>1.0003795066413663</v>
      </c>
      <c r="AP212" s="5">
        <f t="shared" si="69"/>
        <v>-2</v>
      </c>
      <c r="AQ212" s="8">
        <f t="shared" si="70"/>
        <v>-6.1538461538461538E-3</v>
      </c>
      <c r="AR212" s="6">
        <f t="shared" si="71"/>
        <v>1</v>
      </c>
      <c r="AS212" s="6">
        <f t="shared" si="72"/>
        <v>-6.7727734507280731E-3</v>
      </c>
      <c r="AT212" s="6">
        <f t="shared" si="73"/>
        <v>-0.14717545657788428</v>
      </c>
      <c r="AU212" s="6">
        <f t="shared" si="74"/>
        <v>-0.1504211793020426</v>
      </c>
      <c r="AV212" s="5">
        <f t="shared" si="75"/>
        <v>0</v>
      </c>
      <c r="AW212" s="5">
        <f t="shared" si="76"/>
        <v>0</v>
      </c>
      <c r="AX212" s="5">
        <f t="shared" si="77"/>
        <v>0</v>
      </c>
      <c r="AY212" s="5">
        <f t="shared" si="78"/>
        <v>5</v>
      </c>
      <c r="AZ212" s="5">
        <f t="shared" si="79"/>
        <v>5</v>
      </c>
    </row>
    <row r="213" spans="1:52" x14ac:dyDescent="0.3">
      <c r="A213" s="5" t="s">
        <v>52</v>
      </c>
      <c r="B213" s="5" t="s">
        <v>62</v>
      </c>
      <c r="C213" s="5" t="s">
        <v>54</v>
      </c>
      <c r="D213" s="5" t="s">
        <v>61</v>
      </c>
      <c r="E213" s="5" t="s">
        <v>55</v>
      </c>
      <c r="F213" s="5">
        <v>2</v>
      </c>
      <c r="G213" s="5">
        <v>0.04</v>
      </c>
      <c r="H213" s="5" t="b">
        <v>0</v>
      </c>
      <c r="I213" s="5" t="b">
        <v>1</v>
      </c>
      <c r="J213" s="5" t="b">
        <v>0</v>
      </c>
      <c r="K213" s="5">
        <v>2.9529999999999998</v>
      </c>
      <c r="L213" s="5">
        <v>5.1999999999999998E-2</v>
      </c>
      <c r="M213" s="5">
        <v>-5.8000000000000003E-2</v>
      </c>
      <c r="N213" s="5">
        <v>12.933</v>
      </c>
      <c r="O213" s="5">
        <v>-0.155</v>
      </c>
      <c r="P213" s="5">
        <v>5.0000000000000001E-3</v>
      </c>
      <c r="Q213" s="6">
        <v>1E-3</v>
      </c>
      <c r="R213" s="6">
        <v>0.18</v>
      </c>
      <c r="S213" s="7">
        <v>2725.018</v>
      </c>
      <c r="T213" s="5">
        <v>1838.375</v>
      </c>
      <c r="U213" s="5">
        <v>1.4670000000000001</v>
      </c>
      <c r="V213" s="5">
        <v>2.1429999999999998</v>
      </c>
      <c r="W213" s="5">
        <v>2.4950000000000001</v>
      </c>
      <c r="X213" s="5">
        <v>3.3479999999999999</v>
      </c>
      <c r="Y213" s="5">
        <v>9.4550000000000001</v>
      </c>
      <c r="Z213" s="5">
        <v>5273</v>
      </c>
      <c r="AA213" s="5">
        <v>5270</v>
      </c>
      <c r="AB213" s="5">
        <v>5270</v>
      </c>
      <c r="AC213" s="5">
        <v>0.06</v>
      </c>
      <c r="AD213" s="5">
        <v>-0.01</v>
      </c>
      <c r="AE213" s="5">
        <v>3.2000000000000001E-2</v>
      </c>
      <c r="AF213" s="5">
        <v>2.784E-2</v>
      </c>
      <c r="AG213" s="5">
        <v>4.9840000000000002E-2</v>
      </c>
      <c r="AH213" s="5">
        <v>0.14000000000000001</v>
      </c>
      <c r="AI213" s="5">
        <v>0.14396999999999999</v>
      </c>
      <c r="AJ213" s="5">
        <v>-2.5999999999999998E-4</v>
      </c>
      <c r="AK213" s="5">
        <v>2.3E-3</v>
      </c>
      <c r="AL213" s="5">
        <v>0</v>
      </c>
      <c r="AM213" s="5">
        <v>0</v>
      </c>
      <c r="AN213" s="5">
        <v>2.1000000000000001E-2</v>
      </c>
      <c r="AO213" s="6">
        <f t="shared" si="68"/>
        <v>1.0005692599620493</v>
      </c>
      <c r="AP213" s="5">
        <f t="shared" si="69"/>
        <v>-3</v>
      </c>
      <c r="AQ213" s="8">
        <f t="shared" si="70"/>
        <v>-9.2307692307692316E-3</v>
      </c>
      <c r="AR213" s="6">
        <f t="shared" si="71"/>
        <v>1</v>
      </c>
      <c r="AS213" s="6">
        <f t="shared" si="72"/>
        <v>-1.015916017609211E-2</v>
      </c>
      <c r="AT213" s="6">
        <f t="shared" si="73"/>
        <v>-0.14529464318939392</v>
      </c>
      <c r="AU213" s="6">
        <f t="shared" si="74"/>
        <v>-7.6051410753670126E-2</v>
      </c>
      <c r="AV213" s="5">
        <f t="shared" si="75"/>
        <v>0</v>
      </c>
      <c r="AW213" s="5">
        <f t="shared" si="76"/>
        <v>0</v>
      </c>
      <c r="AX213" s="5">
        <f t="shared" si="77"/>
        <v>0</v>
      </c>
      <c r="AY213" s="5">
        <f t="shared" si="78"/>
        <v>5</v>
      </c>
      <c r="AZ213" s="5">
        <f t="shared" si="79"/>
        <v>5</v>
      </c>
    </row>
    <row r="214" spans="1:52" x14ac:dyDescent="0.3">
      <c r="A214" s="5" t="s">
        <v>52</v>
      </c>
      <c r="B214" s="5" t="s">
        <v>62</v>
      </c>
      <c r="C214" s="5" t="s">
        <v>54</v>
      </c>
      <c r="D214" s="5" t="s">
        <v>61</v>
      </c>
      <c r="E214" s="5" t="s">
        <v>55</v>
      </c>
      <c r="F214" s="5">
        <v>2</v>
      </c>
      <c r="G214" s="5">
        <v>0.04</v>
      </c>
      <c r="H214" s="5" t="b">
        <v>0</v>
      </c>
      <c r="I214" s="5" t="b">
        <v>1</v>
      </c>
      <c r="J214" s="5" t="b">
        <v>0</v>
      </c>
      <c r="K214" s="5">
        <v>2.9529999999999998</v>
      </c>
      <c r="L214" s="5">
        <v>5.1999999999999998E-2</v>
      </c>
      <c r="M214" s="5">
        <v>-5.8000000000000003E-2</v>
      </c>
      <c r="N214" s="5">
        <v>26.35</v>
      </c>
      <c r="O214" s="5">
        <v>-0.114</v>
      </c>
      <c r="P214" s="5">
        <v>5.0000000000000001E-3</v>
      </c>
      <c r="Q214" s="6">
        <v>1E-3</v>
      </c>
      <c r="R214" s="6">
        <v>0.18</v>
      </c>
      <c r="S214" s="7">
        <v>2739.241</v>
      </c>
      <c r="T214" s="5">
        <v>1838.375</v>
      </c>
      <c r="U214" s="5">
        <v>1.534</v>
      </c>
      <c r="V214" s="5">
        <v>2.0779999999999998</v>
      </c>
      <c r="W214" s="5">
        <v>1.4830000000000001</v>
      </c>
      <c r="X214" s="5">
        <v>3.3010000000000002</v>
      </c>
      <c r="Y214" s="5">
        <v>8.3979999999999997</v>
      </c>
      <c r="Z214" s="5">
        <v>5274</v>
      </c>
      <c r="AA214" s="5">
        <v>5270</v>
      </c>
      <c r="AB214" s="5">
        <v>5270</v>
      </c>
      <c r="AC214" s="5">
        <v>0.06</v>
      </c>
      <c r="AD214" s="5">
        <v>-1.4999999999999999E-2</v>
      </c>
      <c r="AE214" s="5">
        <v>2.1000000000000001E-2</v>
      </c>
      <c r="AF214" s="5">
        <v>2.0490000000000001E-2</v>
      </c>
      <c r="AG214" s="5">
        <v>2.649E-2</v>
      </c>
      <c r="AH214" s="5">
        <v>0.12</v>
      </c>
      <c r="AI214" s="5">
        <v>0.12242</v>
      </c>
      <c r="AJ214" s="5">
        <v>-1.5200000000000001E-3</v>
      </c>
      <c r="AK214" s="5">
        <v>1.1100000000000001E-3</v>
      </c>
      <c r="AL214" s="5">
        <v>0</v>
      </c>
      <c r="AM214" s="5">
        <v>0</v>
      </c>
      <c r="AN214" s="5">
        <v>0.127</v>
      </c>
      <c r="AO214" s="6">
        <f t="shared" si="68"/>
        <v>1.0007590132827324</v>
      </c>
      <c r="AP214" s="5">
        <f t="shared" si="69"/>
        <v>-4</v>
      </c>
      <c r="AQ214" s="8">
        <f t="shared" si="70"/>
        <v>-1.2307692307692308E-2</v>
      </c>
      <c r="AR214" s="6">
        <f t="shared" si="71"/>
        <v>1</v>
      </c>
      <c r="AS214" s="6">
        <f t="shared" si="72"/>
        <v>-1.3545546901456146E-2</v>
      </c>
      <c r="AT214" s="6">
        <f t="shared" si="73"/>
        <v>-0.12423168152954045</v>
      </c>
      <c r="AU214" s="6">
        <f t="shared" si="74"/>
        <v>-7.0308654995430153E-2</v>
      </c>
      <c r="AV214" s="5">
        <f t="shared" si="75"/>
        <v>0</v>
      </c>
      <c r="AW214" s="5">
        <f t="shared" si="76"/>
        <v>0</v>
      </c>
      <c r="AX214" s="5">
        <f t="shared" si="77"/>
        <v>0</v>
      </c>
      <c r="AY214" s="5">
        <f t="shared" si="78"/>
        <v>5</v>
      </c>
      <c r="AZ214" s="5">
        <f t="shared" si="79"/>
        <v>5</v>
      </c>
    </row>
    <row r="215" spans="1:52" x14ac:dyDescent="0.3">
      <c r="A215" s="5" t="s">
        <v>52</v>
      </c>
      <c r="B215" s="5" t="s">
        <v>62</v>
      </c>
      <c r="C215" s="5" t="s">
        <v>54</v>
      </c>
      <c r="D215" s="5" t="s">
        <v>61</v>
      </c>
      <c r="E215" s="5" t="s">
        <v>55</v>
      </c>
      <c r="F215" s="5">
        <v>2</v>
      </c>
      <c r="G215" s="5">
        <v>0.04</v>
      </c>
      <c r="H215" s="5" t="b">
        <v>0</v>
      </c>
      <c r="I215" s="5" t="b">
        <v>1</v>
      </c>
      <c r="J215" s="5" t="b">
        <v>0</v>
      </c>
      <c r="K215" s="5">
        <v>2.9529999999999998</v>
      </c>
      <c r="L215" s="5">
        <v>5.1999999999999998E-2</v>
      </c>
      <c r="M215" s="5">
        <v>-5.8000000000000003E-2</v>
      </c>
      <c r="N215" s="5">
        <v>54.487000000000002</v>
      </c>
      <c r="O215" s="5">
        <v>-7.2999999999999995E-2</v>
      </c>
      <c r="P215" s="5">
        <v>5.0000000000000001E-3</v>
      </c>
      <c r="Q215" s="6">
        <v>1E-3</v>
      </c>
      <c r="R215" s="6">
        <v>0.18</v>
      </c>
      <c r="S215" s="7">
        <v>2752.4520000000002</v>
      </c>
      <c r="T215" s="5">
        <v>1838.375</v>
      </c>
      <c r="U215" s="5">
        <v>1.3720000000000001</v>
      </c>
      <c r="V215" s="5">
        <v>2.0339999999999998</v>
      </c>
      <c r="W215" s="5">
        <v>1.3680000000000001</v>
      </c>
      <c r="X215" s="5">
        <v>3.3580000000000001</v>
      </c>
      <c r="Y215" s="5">
        <v>8.1329999999999991</v>
      </c>
      <c r="Z215" s="5">
        <v>5275</v>
      </c>
      <c r="AA215" s="5">
        <v>5270</v>
      </c>
      <c r="AB215" s="5">
        <v>5270</v>
      </c>
      <c r="AC215" s="5">
        <v>0.06</v>
      </c>
      <c r="AD215" s="5">
        <v>-0.02</v>
      </c>
      <c r="AE215" s="5">
        <v>0.01</v>
      </c>
      <c r="AF215" s="5">
        <v>1.321E-2</v>
      </c>
      <c r="AG215" s="5">
        <v>3.2100000000000002E-3</v>
      </c>
      <c r="AH215" s="5">
        <v>0.08</v>
      </c>
      <c r="AI215" s="5">
        <v>0.10625</v>
      </c>
      <c r="AJ215" s="5">
        <v>-1.2199999999999999E-3</v>
      </c>
      <c r="AK215" s="5">
        <v>1.2E-4</v>
      </c>
      <c r="AL215" s="5">
        <v>0</v>
      </c>
      <c r="AM215" s="5">
        <v>0</v>
      </c>
      <c r="AN215" s="5">
        <v>6.0999999999999999E-2</v>
      </c>
      <c r="AO215" s="6">
        <f t="shared" si="68"/>
        <v>1.0009487666034156</v>
      </c>
      <c r="AP215" s="5">
        <f t="shared" si="69"/>
        <v>-5</v>
      </c>
      <c r="AQ215" s="8">
        <f t="shared" si="70"/>
        <v>-1.5384615384615385E-2</v>
      </c>
      <c r="AR215" s="6">
        <f t="shared" si="71"/>
        <v>1</v>
      </c>
      <c r="AS215" s="6">
        <f t="shared" si="72"/>
        <v>-1.6931933626820182E-2</v>
      </c>
      <c r="AT215" s="6">
        <f t="shared" si="73"/>
        <v>-0.10781737433693381</v>
      </c>
      <c r="AU215" s="6">
        <f t="shared" si="74"/>
        <v>-7.5694497010065989E-2</v>
      </c>
      <c r="AV215" s="5">
        <f t="shared" si="75"/>
        <v>0</v>
      </c>
      <c r="AW215" s="5">
        <f t="shared" si="76"/>
        <v>0</v>
      </c>
      <c r="AX215" s="5">
        <f t="shared" si="77"/>
        <v>0</v>
      </c>
      <c r="AY215" s="5">
        <f t="shared" si="78"/>
        <v>5</v>
      </c>
      <c r="AZ215" s="5">
        <f t="shared" si="79"/>
        <v>0</v>
      </c>
    </row>
    <row r="216" spans="1:52" x14ac:dyDescent="0.3">
      <c r="A216" s="5" t="s">
        <v>52</v>
      </c>
      <c r="B216" s="5" t="s">
        <v>62</v>
      </c>
      <c r="C216" s="5" t="s">
        <v>54</v>
      </c>
      <c r="D216" s="5" t="s">
        <v>61</v>
      </c>
      <c r="E216" s="5" t="s">
        <v>55</v>
      </c>
      <c r="F216" s="5">
        <v>2</v>
      </c>
      <c r="G216" s="5">
        <v>0.04</v>
      </c>
      <c r="H216" s="5" t="b">
        <v>0</v>
      </c>
      <c r="I216" s="5" t="b">
        <v>1</v>
      </c>
      <c r="J216" s="5" t="b">
        <v>0</v>
      </c>
      <c r="K216" s="5">
        <v>2.9529999999999998</v>
      </c>
      <c r="L216" s="5">
        <v>5.1999999999999998E-2</v>
      </c>
      <c r="M216" s="5">
        <v>-5.8000000000000003E-2</v>
      </c>
      <c r="N216" s="5">
        <v>65.275000000000006</v>
      </c>
      <c r="O216" s="5">
        <v>-7.6999999999999999E-2</v>
      </c>
      <c r="P216" s="5">
        <v>5.0000000000000001E-3</v>
      </c>
      <c r="Q216" s="6">
        <v>1E-3</v>
      </c>
      <c r="R216" s="6">
        <v>0.18</v>
      </c>
      <c r="S216" s="7">
        <v>2764.9960000000001</v>
      </c>
      <c r="T216" s="5">
        <v>1838.375</v>
      </c>
      <c r="U216" s="5">
        <v>1.5089999999999999</v>
      </c>
      <c r="V216" s="5">
        <v>2.1120000000000001</v>
      </c>
      <c r="W216" s="5">
        <v>1.3240000000000001</v>
      </c>
      <c r="X216" s="5">
        <v>3.347</v>
      </c>
      <c r="Y216" s="5">
        <v>8.2940000000000005</v>
      </c>
      <c r="Z216" s="5">
        <v>5275</v>
      </c>
      <c r="AA216" s="5">
        <v>5270</v>
      </c>
      <c r="AB216" s="5">
        <v>5270</v>
      </c>
      <c r="AC216" s="5">
        <v>0.06</v>
      </c>
      <c r="AD216" s="5">
        <v>-2.5000000000000001E-2</v>
      </c>
      <c r="AE216" s="5">
        <v>-2E-3</v>
      </c>
      <c r="AF216" s="5">
        <v>1.379E-2</v>
      </c>
      <c r="AG216" s="5">
        <v>-1.321E-2</v>
      </c>
      <c r="AH216" s="5">
        <v>0.08</v>
      </c>
      <c r="AI216" s="5">
        <v>7.528E-2</v>
      </c>
      <c r="AJ216" s="5">
        <v>-2.47E-3</v>
      </c>
      <c r="AK216" s="5">
        <v>-5.9000000000000003E-4</v>
      </c>
      <c r="AL216" s="5">
        <v>0</v>
      </c>
      <c r="AM216" s="5">
        <v>0</v>
      </c>
      <c r="AN216" s="5">
        <v>2.9000000000000001E-2</v>
      </c>
      <c r="AO216" s="6">
        <f t="shared" si="68"/>
        <v>1.0009487666034156</v>
      </c>
      <c r="AP216" s="5">
        <f t="shared" si="69"/>
        <v>-5</v>
      </c>
      <c r="AQ216" s="8">
        <f t="shared" si="70"/>
        <v>-1.5384615384615385E-2</v>
      </c>
      <c r="AR216" s="6">
        <f t="shared" si="71"/>
        <v>1</v>
      </c>
      <c r="AS216" s="6">
        <f t="shared" si="72"/>
        <v>-1.6931933626820182E-2</v>
      </c>
      <c r="AT216" s="6">
        <f t="shared" si="73"/>
        <v>-7.449514841224178E-2</v>
      </c>
      <c r="AU216" s="6">
        <f t="shared" si="74"/>
        <v>0</v>
      </c>
      <c r="AV216" s="5">
        <f t="shared" si="75"/>
        <v>0</v>
      </c>
      <c r="AW216" s="5">
        <f t="shared" si="76"/>
        <v>0</v>
      </c>
      <c r="AX216" s="5">
        <f t="shared" si="77"/>
        <v>0</v>
      </c>
      <c r="AY216" s="5">
        <f t="shared" si="78"/>
        <v>5</v>
      </c>
      <c r="AZ216" s="5">
        <f t="shared" si="79"/>
        <v>0</v>
      </c>
    </row>
    <row r="217" spans="1:52" x14ac:dyDescent="0.3">
      <c r="A217" s="5" t="s">
        <v>52</v>
      </c>
      <c r="B217" s="5" t="s">
        <v>62</v>
      </c>
      <c r="C217" s="5" t="s">
        <v>54</v>
      </c>
      <c r="D217" s="5" t="s">
        <v>61</v>
      </c>
      <c r="E217" s="5" t="s">
        <v>55</v>
      </c>
      <c r="F217" s="5">
        <v>2</v>
      </c>
      <c r="G217" s="5">
        <v>0.04</v>
      </c>
      <c r="H217" s="5" t="b">
        <v>0</v>
      </c>
      <c r="I217" s="5" t="b">
        <v>1</v>
      </c>
      <c r="J217" s="5" t="b">
        <v>0</v>
      </c>
      <c r="K217" s="5">
        <v>2.9529999999999998</v>
      </c>
      <c r="L217" s="5">
        <v>5.1999999999999998E-2</v>
      </c>
      <c r="M217" s="5">
        <v>-5.8000000000000003E-2</v>
      </c>
      <c r="N217" s="5">
        <v>129.459</v>
      </c>
      <c r="O217" s="5">
        <v>-3.9E-2</v>
      </c>
      <c r="P217" s="5">
        <v>5.0000000000000001E-3</v>
      </c>
      <c r="Q217" s="6">
        <v>1E-3</v>
      </c>
      <c r="R217" s="6">
        <v>0.18</v>
      </c>
      <c r="S217" s="7">
        <v>2777.462</v>
      </c>
      <c r="T217" s="5">
        <v>1838.375</v>
      </c>
      <c r="U217" s="5">
        <v>1.599</v>
      </c>
      <c r="V217" s="5">
        <v>2.1240000000000001</v>
      </c>
      <c r="W217" s="5">
        <v>1.2709999999999999</v>
      </c>
      <c r="X217" s="5">
        <v>3.2360000000000002</v>
      </c>
      <c r="Y217" s="5">
        <v>8.2319999999999993</v>
      </c>
      <c r="Z217" s="5">
        <v>5274</v>
      </c>
      <c r="AA217" s="5">
        <v>5270</v>
      </c>
      <c r="AB217" s="5">
        <v>5270</v>
      </c>
      <c r="AC217" s="5">
        <v>0.06</v>
      </c>
      <c r="AD217" s="5">
        <v>-2.5000000000000001E-2</v>
      </c>
      <c r="AE217" s="5">
        <v>-1.2999999999999999E-2</v>
      </c>
      <c r="AF217" s="5">
        <v>6.9499999999999996E-3</v>
      </c>
      <c r="AG217" s="5">
        <v>-3.1050000000000001E-2</v>
      </c>
      <c r="AH217" s="5">
        <v>0.02</v>
      </c>
      <c r="AI217" s="5">
        <v>3.049E-2</v>
      </c>
      <c r="AJ217" s="5">
        <v>-3.5899999999999999E-3</v>
      </c>
      <c r="AK217" s="5">
        <v>-1.7799999999999999E-3</v>
      </c>
      <c r="AL217" s="5">
        <v>0</v>
      </c>
      <c r="AM217" s="5">
        <v>0</v>
      </c>
      <c r="AN217" s="5">
        <v>8.6999999999999994E-2</v>
      </c>
      <c r="AO217" s="6">
        <f t="shared" si="68"/>
        <v>1.0007590132827324</v>
      </c>
      <c r="AP217" s="5">
        <f t="shared" si="69"/>
        <v>-4</v>
      </c>
      <c r="AQ217" s="8">
        <f t="shared" si="70"/>
        <v>-1.2307692307692308E-2</v>
      </c>
      <c r="AR217" s="6">
        <f t="shared" si="71"/>
        <v>1</v>
      </c>
      <c r="AS217" s="6">
        <f t="shared" si="72"/>
        <v>-1.3545546901456146E-2</v>
      </c>
      <c r="AT217" s="6">
        <f t="shared" si="73"/>
        <v>-2.8367273854576575E-2</v>
      </c>
      <c r="AU217" s="6">
        <f t="shared" si="74"/>
        <v>8.0218193486283368E-2</v>
      </c>
      <c r="AV217" s="5">
        <f t="shared" si="75"/>
        <v>0</v>
      </c>
      <c r="AW217" s="5">
        <f t="shared" si="76"/>
        <v>0</v>
      </c>
      <c r="AX217" s="5">
        <f t="shared" si="77"/>
        <v>0</v>
      </c>
      <c r="AY217" s="5">
        <f t="shared" si="78"/>
        <v>5</v>
      </c>
      <c r="AZ217" s="5">
        <f t="shared" si="79"/>
        <v>5</v>
      </c>
    </row>
    <row r="218" spans="1:52" x14ac:dyDescent="0.3">
      <c r="A218" s="5" t="s">
        <v>52</v>
      </c>
      <c r="B218" s="5" t="s">
        <v>62</v>
      </c>
      <c r="C218" s="5" t="s">
        <v>54</v>
      </c>
      <c r="D218" s="5" t="s">
        <v>58</v>
      </c>
      <c r="E218" s="5" t="s">
        <v>55</v>
      </c>
      <c r="F218" s="5">
        <v>2</v>
      </c>
      <c r="G218" s="5">
        <v>0.04</v>
      </c>
      <c r="H218" s="5" t="b">
        <v>0</v>
      </c>
      <c r="I218" s="5" t="b">
        <v>1</v>
      </c>
      <c r="J218" s="5" t="b">
        <v>0</v>
      </c>
      <c r="K218" s="5">
        <v>2.9529999999999998</v>
      </c>
      <c r="L218" s="5">
        <v>5.1999999999999998E-2</v>
      </c>
      <c r="M218" s="5">
        <v>-5.8000000000000003E-2</v>
      </c>
      <c r="N218" s="5">
        <v>-99.231999999999999</v>
      </c>
      <c r="O218" s="5">
        <v>0.04</v>
      </c>
      <c r="P218" s="5">
        <v>5.0000000000000001E-3</v>
      </c>
      <c r="Q218" s="6">
        <v>1E-3</v>
      </c>
      <c r="R218" s="6">
        <v>0.18</v>
      </c>
      <c r="S218" s="7">
        <v>2790.1030000000001</v>
      </c>
      <c r="T218" s="5">
        <v>1838.375</v>
      </c>
      <c r="U218" s="5">
        <v>1.5860000000000001</v>
      </c>
      <c r="V218" s="5">
        <v>2.2000000000000002</v>
      </c>
      <c r="W218" s="5">
        <v>1.4079999999999999</v>
      </c>
      <c r="X218" s="5">
        <v>3.524</v>
      </c>
      <c r="Y218" s="5">
        <v>8.7189999999999994</v>
      </c>
      <c r="Z218" s="5">
        <v>5274</v>
      </c>
      <c r="AA218" s="5">
        <v>5270</v>
      </c>
      <c r="AB218" s="5">
        <v>5270</v>
      </c>
      <c r="AC218" s="5">
        <v>0.06</v>
      </c>
      <c r="AD218" s="5">
        <v>-0.02</v>
      </c>
      <c r="AE218" s="5">
        <v>-2.1000000000000001E-2</v>
      </c>
      <c r="AF218" s="5">
        <v>7.26E-3</v>
      </c>
      <c r="AG218" s="5">
        <v>-3.3739999999999999E-2</v>
      </c>
      <c r="AH218" s="5">
        <v>0</v>
      </c>
      <c r="AI218" s="5">
        <v>1.536E-2</v>
      </c>
      <c r="AJ218" s="5">
        <v>-1.1999999999999999E-3</v>
      </c>
      <c r="AK218" s="5">
        <v>-1.98E-3</v>
      </c>
      <c r="AL218" s="5">
        <v>0</v>
      </c>
      <c r="AM218" s="5">
        <v>0</v>
      </c>
      <c r="AN218" s="5">
        <v>0.13100000000000001</v>
      </c>
      <c r="AO218" s="6">
        <f t="shared" si="68"/>
        <v>1.0007590132827324</v>
      </c>
      <c r="AP218" s="5">
        <f t="shared" si="69"/>
        <v>-4</v>
      </c>
      <c r="AQ218" s="8">
        <f t="shared" si="70"/>
        <v>-1.2307692307692308E-2</v>
      </c>
      <c r="AR218" s="6">
        <f t="shared" si="71"/>
        <v>1</v>
      </c>
      <c r="AS218" s="6">
        <f t="shared" si="72"/>
        <v>-1.3545546901456146E-2</v>
      </c>
      <c r="AT218" s="6">
        <f t="shared" si="73"/>
        <v>-1.3156991703842552E-2</v>
      </c>
      <c r="AU218" s="6">
        <f t="shared" si="74"/>
        <v>0</v>
      </c>
      <c r="AV218" s="5">
        <f t="shared" si="75"/>
        <v>0</v>
      </c>
      <c r="AW218" s="5">
        <f t="shared" si="76"/>
        <v>0</v>
      </c>
      <c r="AX218" s="5">
        <f t="shared" si="77"/>
        <v>0</v>
      </c>
      <c r="AY218" s="5">
        <f t="shared" si="78"/>
        <v>5</v>
      </c>
      <c r="AZ218" s="5">
        <f t="shared" si="79"/>
        <v>5</v>
      </c>
    </row>
    <row r="219" spans="1:52" x14ac:dyDescent="0.3">
      <c r="A219" s="5" t="s">
        <v>52</v>
      </c>
      <c r="B219" s="5" t="s">
        <v>62</v>
      </c>
      <c r="C219" s="5" t="s">
        <v>54</v>
      </c>
      <c r="D219" s="5" t="s">
        <v>58</v>
      </c>
      <c r="E219" s="5" t="s">
        <v>55</v>
      </c>
      <c r="F219" s="5">
        <v>2</v>
      </c>
      <c r="G219" s="5">
        <v>0.04</v>
      </c>
      <c r="H219" s="5" t="b">
        <v>0</v>
      </c>
      <c r="I219" s="5" t="b">
        <v>1</v>
      </c>
      <c r="J219" s="5" t="b">
        <v>0</v>
      </c>
      <c r="K219" s="5">
        <v>2.9529999999999998</v>
      </c>
      <c r="L219" s="5">
        <v>5.1999999999999998E-2</v>
      </c>
      <c r="M219" s="5">
        <v>-5.8000000000000003E-2</v>
      </c>
      <c r="N219" s="5">
        <v>-99.231999999999999</v>
      </c>
      <c r="O219" s="5">
        <v>0.04</v>
      </c>
      <c r="P219" s="5">
        <v>5.0000000000000001E-3</v>
      </c>
      <c r="Q219" s="6">
        <v>1E-3</v>
      </c>
      <c r="R219" s="6">
        <v>0.18</v>
      </c>
      <c r="S219" s="7">
        <v>2803.3890000000001</v>
      </c>
      <c r="T219" s="5">
        <v>1838.375</v>
      </c>
      <c r="U219" s="5">
        <v>1.5649999999999999</v>
      </c>
      <c r="V219" s="5">
        <v>2.1840000000000002</v>
      </c>
      <c r="W219" s="5">
        <v>1.3740000000000001</v>
      </c>
      <c r="X219" s="5">
        <v>3.2890000000000001</v>
      </c>
      <c r="Y219" s="5">
        <v>8.4139999999999997</v>
      </c>
      <c r="Z219" s="5">
        <v>5273</v>
      </c>
      <c r="AA219" s="5">
        <v>5270</v>
      </c>
      <c r="AB219" s="5">
        <v>5270</v>
      </c>
      <c r="AC219" s="5">
        <v>0.06</v>
      </c>
      <c r="AD219" s="5">
        <v>-0.02</v>
      </c>
      <c r="AE219" s="5">
        <v>-2.7E-2</v>
      </c>
      <c r="AF219" s="5">
        <v>7.26E-3</v>
      </c>
      <c r="AG219" s="5">
        <v>-3.9739999999999998E-2</v>
      </c>
      <c r="AH219" s="5">
        <v>0</v>
      </c>
      <c r="AI219" s="5">
        <v>-1.559E-2</v>
      </c>
      <c r="AJ219" s="5">
        <v>-2.33E-3</v>
      </c>
      <c r="AK219" s="5">
        <v>-2.15E-3</v>
      </c>
      <c r="AL219" s="5">
        <v>0</v>
      </c>
      <c r="AM219" s="5">
        <v>0</v>
      </c>
      <c r="AN219" s="5">
        <v>0.16</v>
      </c>
      <c r="AO219" s="6">
        <f t="shared" si="68"/>
        <v>1.0005692599620493</v>
      </c>
      <c r="AP219" s="5">
        <f t="shared" si="69"/>
        <v>-3</v>
      </c>
      <c r="AQ219" s="8">
        <f t="shared" si="70"/>
        <v>-9.2307692307692316E-3</v>
      </c>
      <c r="AR219" s="6">
        <f t="shared" si="71"/>
        <v>1</v>
      </c>
      <c r="AS219" s="6">
        <f t="shared" si="72"/>
        <v>-1.015916017609211E-2</v>
      </c>
      <c r="AT219" s="6">
        <f t="shared" si="73"/>
        <v>1.595817900621737E-2</v>
      </c>
      <c r="AU219" s="6">
        <f t="shared" si="74"/>
        <v>7.5267198554869463E-2</v>
      </c>
      <c r="AV219" s="5">
        <f t="shared" si="75"/>
        <v>0</v>
      </c>
      <c r="AW219" s="5">
        <f t="shared" si="76"/>
        <v>0</v>
      </c>
      <c r="AX219" s="5">
        <f t="shared" si="77"/>
        <v>0</v>
      </c>
      <c r="AY219" s="5">
        <f t="shared" si="78"/>
        <v>5</v>
      </c>
      <c r="AZ219" s="5">
        <f t="shared" si="79"/>
        <v>5</v>
      </c>
    </row>
    <row r="220" spans="1:52" x14ac:dyDescent="0.3">
      <c r="A220" s="5" t="s">
        <v>52</v>
      </c>
      <c r="B220" s="5" t="s">
        <v>62</v>
      </c>
      <c r="C220" s="5" t="s">
        <v>54</v>
      </c>
      <c r="D220" s="5" t="s">
        <v>58</v>
      </c>
      <c r="E220" s="5" t="s">
        <v>55</v>
      </c>
      <c r="F220" s="5">
        <v>2</v>
      </c>
      <c r="G220" s="5">
        <v>0.04</v>
      </c>
      <c r="H220" s="5" t="b">
        <v>0</v>
      </c>
      <c r="I220" s="5" t="b">
        <v>1</v>
      </c>
      <c r="J220" s="5" t="b">
        <v>0</v>
      </c>
      <c r="K220" s="5">
        <v>2.9529999999999998</v>
      </c>
      <c r="L220" s="5">
        <v>5.1999999999999998E-2</v>
      </c>
      <c r="M220" s="5">
        <v>-5.8000000000000003E-2</v>
      </c>
      <c r="N220" s="5">
        <v>-77.900000000000006</v>
      </c>
      <c r="O220" s="5">
        <v>3.9E-2</v>
      </c>
      <c r="P220" s="5">
        <v>5.0000000000000001E-3</v>
      </c>
      <c r="Q220" s="6">
        <v>1E-3</v>
      </c>
      <c r="R220" s="6">
        <v>0.18</v>
      </c>
      <c r="S220" s="7">
        <v>2816.3130000000001</v>
      </c>
      <c r="T220" s="5">
        <v>1838.375</v>
      </c>
      <c r="U220" s="5">
        <v>1.6439999999999999</v>
      </c>
      <c r="V220" s="5">
        <v>2.069</v>
      </c>
      <c r="W220" s="5">
        <v>1.3740000000000001</v>
      </c>
      <c r="X220" s="5">
        <v>3.3780000000000001</v>
      </c>
      <c r="Y220" s="5">
        <v>8.4659999999999993</v>
      </c>
      <c r="Z220" s="5">
        <v>5273</v>
      </c>
      <c r="AA220" s="5">
        <v>5270</v>
      </c>
      <c r="AB220" s="5">
        <v>5270</v>
      </c>
      <c r="AC220" s="5">
        <v>0.06</v>
      </c>
      <c r="AD220" s="5">
        <v>-1.4999999999999999E-2</v>
      </c>
      <c r="AE220" s="5">
        <v>-0.03</v>
      </c>
      <c r="AF220" s="5">
        <v>6.9300000000000004E-3</v>
      </c>
      <c r="AG220" s="5">
        <v>-3.807E-2</v>
      </c>
      <c r="AH220" s="5">
        <v>-0.04</v>
      </c>
      <c r="AI220" s="5">
        <v>-3.1320000000000001E-2</v>
      </c>
      <c r="AJ220" s="5">
        <v>-1.2199999999999999E-3</v>
      </c>
      <c r="AK220" s="5">
        <v>-2.15E-3</v>
      </c>
      <c r="AL220" s="5">
        <v>0</v>
      </c>
      <c r="AM220" s="5">
        <v>0</v>
      </c>
      <c r="AN220" s="5">
        <v>0.17799999999999999</v>
      </c>
      <c r="AO220" s="6">
        <f t="shared" si="68"/>
        <v>1.0005692599620493</v>
      </c>
      <c r="AP220" s="5">
        <f t="shared" si="69"/>
        <v>-3</v>
      </c>
      <c r="AQ220" s="8">
        <f t="shared" si="70"/>
        <v>-9.2307692307692316E-3</v>
      </c>
      <c r="AR220" s="6">
        <f t="shared" si="71"/>
        <v>1</v>
      </c>
      <c r="AS220" s="6">
        <f t="shared" si="72"/>
        <v>-1.015916017609211E-2</v>
      </c>
      <c r="AT220" s="6">
        <f t="shared" si="73"/>
        <v>3.1097078408230568E-2</v>
      </c>
      <c r="AU220" s="6">
        <f t="shared" si="74"/>
        <v>0</v>
      </c>
      <c r="AV220" s="5">
        <f t="shared" si="75"/>
        <v>0</v>
      </c>
      <c r="AW220" s="5">
        <f t="shared" si="76"/>
        <v>0</v>
      </c>
      <c r="AX220" s="5">
        <f t="shared" si="77"/>
        <v>0</v>
      </c>
      <c r="AY220" s="5">
        <f t="shared" si="78"/>
        <v>5</v>
      </c>
      <c r="AZ220" s="5">
        <f t="shared" si="79"/>
        <v>5</v>
      </c>
    </row>
    <row r="221" spans="1:52" x14ac:dyDescent="0.3">
      <c r="A221" s="5" t="s">
        <v>52</v>
      </c>
      <c r="B221" s="5" t="s">
        <v>62</v>
      </c>
      <c r="C221" s="5" t="s">
        <v>54</v>
      </c>
      <c r="D221" s="5" t="s">
        <v>58</v>
      </c>
      <c r="E221" s="5" t="s">
        <v>55</v>
      </c>
      <c r="F221" s="5">
        <v>2</v>
      </c>
      <c r="G221" s="5">
        <v>0.04</v>
      </c>
      <c r="H221" s="5" t="b">
        <v>0</v>
      </c>
      <c r="I221" s="5" t="b">
        <v>1</v>
      </c>
      <c r="J221" s="5" t="b">
        <v>0</v>
      </c>
      <c r="K221" s="5">
        <v>2.9529999999999998</v>
      </c>
      <c r="L221" s="5">
        <v>5.1999999999999998E-2</v>
      </c>
      <c r="M221" s="5">
        <v>-5.8000000000000003E-2</v>
      </c>
      <c r="N221" s="5">
        <v>-77.900000000000006</v>
      </c>
      <c r="O221" s="5">
        <v>3.9E-2</v>
      </c>
      <c r="P221" s="5">
        <v>5.0000000000000001E-3</v>
      </c>
      <c r="Q221" s="6">
        <v>1E-3</v>
      </c>
      <c r="R221" s="6">
        <v>0.18</v>
      </c>
      <c r="S221" s="7">
        <v>2829.52</v>
      </c>
      <c r="T221" s="5">
        <v>1838.375</v>
      </c>
      <c r="U221" s="5">
        <v>1.5549999999999999</v>
      </c>
      <c r="V221" s="5">
        <v>2.2250000000000001</v>
      </c>
      <c r="W221" s="5">
        <v>1.5229999999999999</v>
      </c>
      <c r="X221" s="5">
        <v>3.5710000000000002</v>
      </c>
      <c r="Y221" s="5">
        <v>8.875</v>
      </c>
      <c r="Z221" s="5">
        <v>5272</v>
      </c>
      <c r="AA221" s="5">
        <v>5270</v>
      </c>
      <c r="AB221" s="5">
        <v>5270</v>
      </c>
      <c r="AC221" s="5">
        <v>0.06</v>
      </c>
      <c r="AD221" s="5">
        <v>-1.4999999999999999E-2</v>
      </c>
      <c r="AE221" s="5">
        <v>-3.1E-2</v>
      </c>
      <c r="AF221" s="5">
        <v>6.9300000000000004E-3</v>
      </c>
      <c r="AG221" s="5">
        <v>-3.9070000000000001E-2</v>
      </c>
      <c r="AH221" s="5">
        <v>-0.04</v>
      </c>
      <c r="AI221" s="5">
        <v>-4.6489999999999997E-2</v>
      </c>
      <c r="AJ221" s="5">
        <v>-1.15E-3</v>
      </c>
      <c r="AK221" s="5">
        <v>-1.89E-3</v>
      </c>
      <c r="AL221" s="5">
        <v>0</v>
      </c>
      <c r="AM221" s="5">
        <v>0</v>
      </c>
      <c r="AN221" s="5">
        <v>0.182</v>
      </c>
      <c r="AO221" s="6">
        <f t="shared" si="68"/>
        <v>1.0003795066413663</v>
      </c>
      <c r="AP221" s="5">
        <f t="shared" si="69"/>
        <v>-2</v>
      </c>
      <c r="AQ221" s="8">
        <f t="shared" si="70"/>
        <v>-6.1538461538461538E-3</v>
      </c>
      <c r="AR221" s="6">
        <f t="shared" si="71"/>
        <v>1</v>
      </c>
      <c r="AS221" s="6">
        <f t="shared" si="72"/>
        <v>-6.7727734507280731E-3</v>
      </c>
      <c r="AT221" s="6">
        <f t="shared" si="73"/>
        <v>4.6240562924017785E-2</v>
      </c>
      <c r="AU221" s="6">
        <f t="shared" si="74"/>
        <v>7.57174225789361E-2</v>
      </c>
      <c r="AV221" s="5">
        <f t="shared" si="75"/>
        <v>0</v>
      </c>
      <c r="AW221" s="5">
        <f t="shared" si="76"/>
        <v>0</v>
      </c>
      <c r="AX221" s="5">
        <f t="shared" si="77"/>
        <v>0</v>
      </c>
      <c r="AY221" s="5">
        <f t="shared" si="78"/>
        <v>5</v>
      </c>
      <c r="AZ221" s="5">
        <f t="shared" si="79"/>
        <v>5</v>
      </c>
    </row>
    <row r="222" spans="1:52" x14ac:dyDescent="0.3">
      <c r="A222" s="5" t="s">
        <v>64</v>
      </c>
      <c r="B222" s="5" t="s">
        <v>62</v>
      </c>
      <c r="C222" s="5" t="s">
        <v>54</v>
      </c>
      <c r="D222" s="5" t="s">
        <v>65</v>
      </c>
      <c r="E222" s="5" t="s">
        <v>55</v>
      </c>
      <c r="F222" s="5">
        <v>2</v>
      </c>
      <c r="G222" s="5">
        <v>0.04</v>
      </c>
      <c r="H222" s="5" t="b">
        <v>0</v>
      </c>
      <c r="I222" s="5" t="b">
        <v>1</v>
      </c>
      <c r="J222" s="5" t="b">
        <v>1</v>
      </c>
      <c r="K222" s="5">
        <v>2.9529999999999998</v>
      </c>
      <c r="L222" s="5">
        <v>5.1999999999999998E-2</v>
      </c>
      <c r="M222" s="5">
        <v>-5.8000000000000003E-2</v>
      </c>
      <c r="N222" s="5">
        <v>-54.470999999999997</v>
      </c>
      <c r="O222" s="5">
        <v>3.6999999999999998E-2</v>
      </c>
      <c r="P222" s="5">
        <v>5.0000000000000001E-3</v>
      </c>
      <c r="Q222" s="6">
        <v>1E-3</v>
      </c>
      <c r="R222" s="6">
        <v>0.18</v>
      </c>
      <c r="S222" s="7">
        <v>2842.8290000000002</v>
      </c>
      <c r="T222" s="5">
        <v>1838.375</v>
      </c>
      <c r="U222" s="5">
        <v>1.506</v>
      </c>
      <c r="V222" s="5">
        <v>2.1989999999999998</v>
      </c>
      <c r="W222" s="5">
        <v>1.448</v>
      </c>
      <c r="X222" s="5">
        <v>4.5609999999999999</v>
      </c>
      <c r="Y222" s="5">
        <v>9.7149999999999999</v>
      </c>
      <c r="Z222" s="5">
        <v>5271</v>
      </c>
      <c r="AA222" s="5">
        <v>5270</v>
      </c>
      <c r="AB222" s="5">
        <v>5270</v>
      </c>
      <c r="AC222" s="5">
        <v>0.06</v>
      </c>
      <c r="AD222" s="5">
        <v>-0.01</v>
      </c>
      <c r="AE222" s="5">
        <v>-0.03</v>
      </c>
      <c r="AF222" s="5">
        <v>6.6100000000000004E-3</v>
      </c>
      <c r="AG222" s="5">
        <v>-3.3390000000000003E-2</v>
      </c>
      <c r="AH222" s="5">
        <v>-0.04</v>
      </c>
      <c r="AI222" s="5">
        <v>-4.589E-2</v>
      </c>
      <c r="AJ222" s="5">
        <v>5.0000000000000002E-5</v>
      </c>
      <c r="AK222" s="5">
        <v>-1.17E-3</v>
      </c>
      <c r="AL222" s="5">
        <v>0</v>
      </c>
      <c r="AM222" s="5">
        <v>0</v>
      </c>
      <c r="AN222" s="5">
        <v>0.153</v>
      </c>
      <c r="AO222" s="6">
        <f t="shared" si="68"/>
        <v>1.0001897533206832</v>
      </c>
      <c r="AP222" s="5">
        <f t="shared" si="69"/>
        <v>-1</v>
      </c>
      <c r="AQ222" s="8">
        <f t="shared" si="70"/>
        <v>-3.0769230769230769E-3</v>
      </c>
      <c r="AR222" s="6">
        <f t="shared" si="71"/>
        <v>1</v>
      </c>
      <c r="AS222" s="6">
        <f t="shared" si="72"/>
        <v>-3.3863867253640365E-3</v>
      </c>
      <c r="AT222" s="6">
        <f t="shared" si="73"/>
        <v>4.5224349277478447E-2</v>
      </c>
      <c r="AU222" s="6">
        <f t="shared" si="74"/>
        <v>7.5137125253586692E-2</v>
      </c>
      <c r="AV222" s="5">
        <f t="shared" si="75"/>
        <v>0</v>
      </c>
      <c r="AW222" s="5">
        <f t="shared" si="76"/>
        <v>0</v>
      </c>
      <c r="AX222" s="5">
        <f t="shared" si="77"/>
        <v>0</v>
      </c>
      <c r="AY222" s="5">
        <f t="shared" si="78"/>
        <v>5</v>
      </c>
      <c r="AZ222" s="5">
        <f t="shared" si="79"/>
        <v>5</v>
      </c>
    </row>
    <row r="223" spans="1:52" x14ac:dyDescent="0.3">
      <c r="A223" s="5" t="s">
        <v>64</v>
      </c>
      <c r="B223" s="5" t="s">
        <v>62</v>
      </c>
      <c r="C223" s="5" t="s">
        <v>54</v>
      </c>
      <c r="D223" s="5" t="s">
        <v>65</v>
      </c>
      <c r="E223" s="5" t="s">
        <v>55</v>
      </c>
      <c r="F223" s="5">
        <v>2</v>
      </c>
      <c r="G223" s="5">
        <v>0.04</v>
      </c>
      <c r="H223" s="5" t="b">
        <v>0</v>
      </c>
      <c r="I223" s="5" t="b">
        <v>1</v>
      </c>
      <c r="J223" s="5" t="b">
        <v>1</v>
      </c>
      <c r="K223" s="5">
        <v>2.9529999999999998</v>
      </c>
      <c r="L223" s="5">
        <v>5.1999999999999998E-2</v>
      </c>
      <c r="M223" s="5">
        <v>-5.8000000000000003E-2</v>
      </c>
      <c r="N223" s="5">
        <v>-54.470999999999997</v>
      </c>
      <c r="O223" s="5">
        <v>3.6999999999999998E-2</v>
      </c>
      <c r="P223" s="5">
        <v>5.0000000000000001E-3</v>
      </c>
      <c r="Q223" s="6">
        <v>1E-3</v>
      </c>
      <c r="R223" s="6">
        <v>0.18</v>
      </c>
      <c r="S223" s="7">
        <v>2857.2</v>
      </c>
      <c r="T223" s="5">
        <v>1838.375</v>
      </c>
      <c r="U223" s="5">
        <v>1.411</v>
      </c>
      <c r="V223" s="5">
        <v>2.0840000000000001</v>
      </c>
      <c r="W223" s="5">
        <v>1.468</v>
      </c>
      <c r="X223" s="5">
        <v>3.403</v>
      </c>
      <c r="Y223" s="5">
        <v>8.3680000000000003</v>
      </c>
      <c r="Z223" s="5">
        <v>5270</v>
      </c>
      <c r="AA223" s="5">
        <v>5270</v>
      </c>
      <c r="AB223" s="5">
        <v>5270</v>
      </c>
      <c r="AC223" s="5">
        <v>0.06</v>
      </c>
      <c r="AD223" s="5">
        <v>-0.01</v>
      </c>
      <c r="AE223" s="5">
        <v>-0.03</v>
      </c>
      <c r="AF223" s="5">
        <v>6.6100000000000004E-3</v>
      </c>
      <c r="AG223" s="5">
        <v>0</v>
      </c>
      <c r="AH223" s="5">
        <v>-0.06</v>
      </c>
      <c r="AI223" s="5">
        <v>-5.9619999999999999E-2</v>
      </c>
      <c r="AJ223" s="5">
        <v>-9.5E-4</v>
      </c>
      <c r="AK223" s="5">
        <v>-1.1199999999999999E-3</v>
      </c>
      <c r="AL223" s="5">
        <v>0</v>
      </c>
      <c r="AM223" s="5">
        <v>0</v>
      </c>
      <c r="AN223" s="5">
        <v>0.13100000000000001</v>
      </c>
      <c r="AO223" s="6">
        <f t="shared" si="68"/>
        <v>1</v>
      </c>
      <c r="AP223" s="5">
        <f t="shared" si="69"/>
        <v>0</v>
      </c>
      <c r="AQ223" s="8">
        <f t="shared" si="70"/>
        <v>0</v>
      </c>
      <c r="AR223" s="6">
        <f t="shared" si="71"/>
        <v>1</v>
      </c>
      <c r="AS223" s="6">
        <f t="shared" si="72"/>
        <v>0</v>
      </c>
      <c r="AT223" s="6">
        <f t="shared" si="73"/>
        <v>5.9141265288890667E-2</v>
      </c>
      <c r="AU223" s="6">
        <f t="shared" si="74"/>
        <v>6.9584580057061099E-2</v>
      </c>
      <c r="AV223" s="5">
        <f t="shared" si="75"/>
        <v>0</v>
      </c>
      <c r="AW223" s="5">
        <f t="shared" si="76"/>
        <v>0</v>
      </c>
      <c r="AX223" s="5">
        <f t="shared" si="77"/>
        <v>0</v>
      </c>
      <c r="AY223" s="5">
        <f t="shared" si="78"/>
        <v>5</v>
      </c>
      <c r="AZ223" s="5">
        <f t="shared" si="79"/>
        <v>5</v>
      </c>
    </row>
    <row r="224" spans="1:52" x14ac:dyDescent="0.3">
      <c r="A224" s="5" t="s">
        <v>64</v>
      </c>
      <c r="B224" s="5" t="s">
        <v>62</v>
      </c>
      <c r="C224" s="5" t="s">
        <v>54</v>
      </c>
      <c r="D224" s="5" t="s">
        <v>65</v>
      </c>
      <c r="E224" s="5" t="s">
        <v>55</v>
      </c>
      <c r="F224" s="5">
        <v>2</v>
      </c>
      <c r="G224" s="5">
        <v>0.04</v>
      </c>
      <c r="H224" s="5" t="b">
        <v>0</v>
      </c>
      <c r="I224" s="5" t="b">
        <v>1</v>
      </c>
      <c r="J224" s="5" t="b">
        <v>1</v>
      </c>
      <c r="K224" s="5">
        <v>2.9529999999999998</v>
      </c>
      <c r="L224" s="5">
        <v>5.1999999999999998E-2</v>
      </c>
      <c r="M224" s="5">
        <v>-5.8000000000000003E-2</v>
      </c>
      <c r="N224" s="5">
        <v>-54.470999999999997</v>
      </c>
      <c r="O224" s="5">
        <v>3.6999999999999998E-2</v>
      </c>
      <c r="P224" s="5">
        <v>5.0000000000000001E-3</v>
      </c>
      <c r="Q224" s="6">
        <v>1E-3</v>
      </c>
      <c r="R224" s="6">
        <v>0.18</v>
      </c>
      <c r="S224" s="7">
        <v>2868.5810000000001</v>
      </c>
      <c r="T224" s="5">
        <v>1838.375</v>
      </c>
      <c r="U224" s="5">
        <v>1.518</v>
      </c>
      <c r="V224" s="5">
        <v>2.1760000000000002</v>
      </c>
      <c r="W224" s="5">
        <v>1.514</v>
      </c>
      <c r="X224" s="5">
        <v>3.4239999999999999</v>
      </c>
      <c r="Y224" s="5">
        <v>8.6340000000000003</v>
      </c>
      <c r="Z224" s="5">
        <v>5270</v>
      </c>
      <c r="AA224" s="5">
        <v>5270</v>
      </c>
      <c r="AB224" s="5">
        <v>5270</v>
      </c>
      <c r="AC224" s="5">
        <v>0.06</v>
      </c>
      <c r="AD224" s="5">
        <v>-0.01</v>
      </c>
      <c r="AE224" s="5">
        <v>-0.03</v>
      </c>
      <c r="AF224" s="5">
        <v>6.6100000000000004E-3</v>
      </c>
      <c r="AG224" s="5">
        <v>0</v>
      </c>
      <c r="AH224" s="5">
        <v>-0.06</v>
      </c>
      <c r="AI224" s="5">
        <v>-4.6019999999999998E-2</v>
      </c>
      <c r="AJ224" s="5">
        <v>1.1900000000000001E-3</v>
      </c>
      <c r="AK224" s="5">
        <v>-4.6999999999999999E-4</v>
      </c>
      <c r="AL224" s="5">
        <v>0</v>
      </c>
      <c r="AM224" s="5">
        <v>0</v>
      </c>
      <c r="AN224" s="5">
        <v>7.5999999999999998E-2</v>
      </c>
      <c r="AO224" s="6">
        <f t="shared" si="68"/>
        <v>1</v>
      </c>
      <c r="AP224" s="5">
        <f t="shared" si="69"/>
        <v>0</v>
      </c>
      <c r="AQ224" s="8">
        <f t="shared" si="70"/>
        <v>0</v>
      </c>
      <c r="AR224" s="6">
        <f t="shared" si="71"/>
        <v>1</v>
      </c>
      <c r="AS224" s="6">
        <f t="shared" si="72"/>
        <v>0</v>
      </c>
      <c r="AT224" s="6">
        <f t="shared" si="73"/>
        <v>4.4087825577916774E-2</v>
      </c>
      <c r="AU224" s="6">
        <f t="shared" si="74"/>
        <v>0</v>
      </c>
      <c r="AV224" s="5">
        <f t="shared" si="75"/>
        <v>0</v>
      </c>
      <c r="AW224" s="5">
        <f t="shared" si="76"/>
        <v>0</v>
      </c>
      <c r="AX224" s="5">
        <f t="shared" si="77"/>
        <v>0</v>
      </c>
      <c r="AY224" s="5">
        <f t="shared" si="78"/>
        <v>5</v>
      </c>
      <c r="AZ224" s="5">
        <f t="shared" si="79"/>
        <v>5</v>
      </c>
    </row>
    <row r="225" spans="1:52" x14ac:dyDescent="0.3">
      <c r="A225" s="5" t="s">
        <v>64</v>
      </c>
      <c r="B225" s="5" t="s">
        <v>62</v>
      </c>
      <c r="C225" s="5" t="s">
        <v>54</v>
      </c>
      <c r="D225" s="5" t="s">
        <v>65</v>
      </c>
      <c r="E225" s="5" t="s">
        <v>55</v>
      </c>
      <c r="F225" s="5">
        <v>2</v>
      </c>
      <c r="G225" s="5">
        <v>0.04</v>
      </c>
      <c r="H225" s="5" t="b">
        <v>0</v>
      </c>
      <c r="I225" s="5" t="b">
        <v>1</v>
      </c>
      <c r="J225" s="5" t="b">
        <v>1</v>
      </c>
      <c r="K225" s="5">
        <v>2.9529999999999998</v>
      </c>
      <c r="L225" s="5">
        <v>5.1999999999999998E-2</v>
      </c>
      <c r="M225" s="5">
        <v>-5.8000000000000003E-2</v>
      </c>
      <c r="N225" s="5">
        <v>-54.470999999999997</v>
      </c>
      <c r="O225" s="5">
        <v>3.6999999999999998E-2</v>
      </c>
      <c r="P225" s="5">
        <v>5.0000000000000001E-3</v>
      </c>
      <c r="Q225" s="6">
        <v>1E-3</v>
      </c>
      <c r="R225" s="6">
        <v>0.18</v>
      </c>
      <c r="S225" s="7">
        <v>2880.3220000000001</v>
      </c>
      <c r="T225" s="5">
        <v>1838.375</v>
      </c>
      <c r="U225" s="5">
        <v>1.5029999999999999</v>
      </c>
      <c r="V225" s="5">
        <v>2.2480000000000002</v>
      </c>
      <c r="W225" s="5">
        <v>1.462</v>
      </c>
      <c r="X225" s="5">
        <v>3.37</v>
      </c>
      <c r="Y225" s="5">
        <v>8.5860000000000003</v>
      </c>
      <c r="Z225" s="5">
        <v>5270</v>
      </c>
      <c r="AA225" s="5">
        <v>5270</v>
      </c>
      <c r="AB225" s="5">
        <v>5270</v>
      </c>
      <c r="AC225" s="5">
        <v>0.06</v>
      </c>
      <c r="AD225" s="5">
        <v>-0.01</v>
      </c>
      <c r="AE225" s="5">
        <v>-0.03</v>
      </c>
      <c r="AF225" s="5">
        <v>6.6100000000000004E-3</v>
      </c>
      <c r="AG225" s="5">
        <v>0</v>
      </c>
      <c r="AH225" s="5">
        <v>-0.04</v>
      </c>
      <c r="AI225" s="5">
        <v>-4.6870000000000002E-2</v>
      </c>
      <c r="AJ225" s="5">
        <v>-6.9999999999999994E-5</v>
      </c>
      <c r="AK225" s="5">
        <v>-2.4000000000000001E-4</v>
      </c>
      <c r="AL225" s="5">
        <v>0</v>
      </c>
      <c r="AM225" s="5">
        <v>0</v>
      </c>
      <c r="AN225" s="5">
        <v>1.7999999999999999E-2</v>
      </c>
      <c r="AO225" s="6">
        <f t="shared" si="68"/>
        <v>1</v>
      </c>
      <c r="AP225" s="5">
        <f t="shared" si="69"/>
        <v>0</v>
      </c>
      <c r="AQ225" s="8">
        <f t="shared" si="70"/>
        <v>0</v>
      </c>
      <c r="AR225" s="6">
        <f t="shared" si="71"/>
        <v>1</v>
      </c>
      <c r="AS225" s="6">
        <f t="shared" si="72"/>
        <v>0</v>
      </c>
      <c r="AT225" s="6">
        <f t="shared" si="73"/>
        <v>4.4087825577916774E-2</v>
      </c>
      <c r="AU225" s="6">
        <f t="shared" si="74"/>
        <v>0</v>
      </c>
      <c r="AV225" s="5">
        <f t="shared" si="75"/>
        <v>0</v>
      </c>
      <c r="AW225" s="5">
        <f t="shared" si="76"/>
        <v>0</v>
      </c>
      <c r="AX225" s="5">
        <f t="shared" si="77"/>
        <v>0</v>
      </c>
      <c r="AY225" s="5">
        <f t="shared" si="78"/>
        <v>5</v>
      </c>
      <c r="AZ225" s="5">
        <f t="shared" si="79"/>
        <v>5</v>
      </c>
    </row>
    <row r="226" spans="1:52" x14ac:dyDescent="0.3">
      <c r="A226" s="5" t="s">
        <v>64</v>
      </c>
      <c r="B226" s="5" t="s">
        <v>62</v>
      </c>
      <c r="C226" s="5" t="s">
        <v>54</v>
      </c>
      <c r="D226" s="5" t="s">
        <v>65</v>
      </c>
      <c r="E226" s="5" t="s">
        <v>55</v>
      </c>
      <c r="F226" s="5">
        <v>2</v>
      </c>
      <c r="G226" s="5">
        <v>0.04</v>
      </c>
      <c r="H226" s="5" t="b">
        <v>0</v>
      </c>
      <c r="I226" s="5" t="b">
        <v>1</v>
      </c>
      <c r="J226" s="5" t="b">
        <v>1</v>
      </c>
      <c r="K226" s="5">
        <v>2.9529999999999998</v>
      </c>
      <c r="L226" s="5">
        <v>5.1999999999999998E-2</v>
      </c>
      <c r="M226" s="5">
        <v>-5.8000000000000003E-2</v>
      </c>
      <c r="N226" s="5">
        <v>-54.470999999999997</v>
      </c>
      <c r="O226" s="5">
        <v>3.6999999999999998E-2</v>
      </c>
      <c r="P226" s="5">
        <v>5.0000000000000001E-3</v>
      </c>
      <c r="Q226" s="6">
        <v>1E-3</v>
      </c>
      <c r="R226" s="6">
        <v>0.18</v>
      </c>
      <c r="S226" s="7">
        <v>2892.03</v>
      </c>
      <c r="T226" s="5">
        <v>1838.375</v>
      </c>
      <c r="U226" s="5">
        <v>1.5569999999999999</v>
      </c>
      <c r="V226" s="5">
        <v>2.2120000000000002</v>
      </c>
      <c r="W226" s="5">
        <v>1.496</v>
      </c>
      <c r="X226" s="5">
        <v>3.4830000000000001</v>
      </c>
      <c r="Y226" s="5">
        <v>8.7509999999999994</v>
      </c>
      <c r="Z226" s="5">
        <v>5270</v>
      </c>
      <c r="AA226" s="5">
        <v>5270</v>
      </c>
      <c r="AB226" s="5">
        <v>5270</v>
      </c>
      <c r="AC226" s="5">
        <v>0.06</v>
      </c>
      <c r="AD226" s="5">
        <v>-0.01</v>
      </c>
      <c r="AE226" s="5">
        <v>-0.03</v>
      </c>
      <c r="AF226" s="5">
        <v>6.6100000000000004E-3</v>
      </c>
      <c r="AG226" s="5">
        <v>0</v>
      </c>
      <c r="AH226" s="5">
        <v>-0.04</v>
      </c>
      <c r="AI226" s="5">
        <v>-3.2000000000000001E-2</v>
      </c>
      <c r="AJ226" s="5">
        <v>1.2700000000000001E-3</v>
      </c>
      <c r="AK226" s="5">
        <v>2.3000000000000001E-4</v>
      </c>
      <c r="AL226" s="5">
        <v>0</v>
      </c>
      <c r="AM226" s="5">
        <v>0</v>
      </c>
      <c r="AN226" s="5">
        <v>0.01</v>
      </c>
      <c r="AO226" s="6">
        <f t="shared" si="68"/>
        <v>1</v>
      </c>
      <c r="AP226" s="5">
        <f t="shared" si="69"/>
        <v>0</v>
      </c>
      <c r="AQ226" s="8">
        <f t="shared" si="70"/>
        <v>0</v>
      </c>
      <c r="AR226" s="6">
        <f t="shared" si="71"/>
        <v>1</v>
      </c>
      <c r="AS226" s="6">
        <f t="shared" si="72"/>
        <v>0</v>
      </c>
      <c r="AT226" s="6">
        <f t="shared" si="73"/>
        <v>2.8944341062129557E-2</v>
      </c>
      <c r="AU226" s="6">
        <f t="shared" si="74"/>
        <v>0</v>
      </c>
      <c r="AV226" s="5">
        <f t="shared" si="75"/>
        <v>0</v>
      </c>
      <c r="AW226" s="5">
        <f t="shared" si="76"/>
        <v>0</v>
      </c>
      <c r="AX226" s="5">
        <f t="shared" si="77"/>
        <v>0</v>
      </c>
      <c r="AY226" s="5">
        <f t="shared" si="78"/>
        <v>5</v>
      </c>
      <c r="AZ226" s="5">
        <f t="shared" si="79"/>
        <v>5</v>
      </c>
    </row>
    <row r="227" spans="1:52" x14ac:dyDescent="0.3">
      <c r="A227" s="5" t="s">
        <v>64</v>
      </c>
      <c r="B227" s="5" t="s">
        <v>62</v>
      </c>
      <c r="C227" s="5" t="s">
        <v>54</v>
      </c>
      <c r="D227" s="5" t="s">
        <v>65</v>
      </c>
      <c r="E227" s="5" t="s">
        <v>55</v>
      </c>
      <c r="F227" s="5">
        <v>2</v>
      </c>
      <c r="G227" s="5">
        <v>0.04</v>
      </c>
      <c r="H227" s="5" t="b">
        <v>0</v>
      </c>
      <c r="I227" s="5" t="b">
        <v>1</v>
      </c>
      <c r="J227" s="5" t="b">
        <v>1</v>
      </c>
      <c r="K227" s="5">
        <v>2.9529999999999998</v>
      </c>
      <c r="L227" s="5">
        <v>5.1999999999999998E-2</v>
      </c>
      <c r="M227" s="5">
        <v>-5.8000000000000003E-2</v>
      </c>
      <c r="N227" s="5">
        <v>-54.470999999999997</v>
      </c>
      <c r="O227" s="5">
        <v>3.6999999999999998E-2</v>
      </c>
      <c r="P227" s="5">
        <v>5.0000000000000001E-3</v>
      </c>
      <c r="Q227" s="6">
        <v>1E-3</v>
      </c>
      <c r="R227" s="6">
        <v>0.18</v>
      </c>
      <c r="S227" s="7">
        <v>2903.855</v>
      </c>
      <c r="T227" s="5">
        <v>1838.375</v>
      </c>
      <c r="U227" s="5">
        <v>1.4670000000000001</v>
      </c>
      <c r="V227" s="5">
        <v>2.2320000000000002</v>
      </c>
      <c r="W227" s="5">
        <v>1.48</v>
      </c>
      <c r="X227" s="5">
        <v>3.2789999999999999</v>
      </c>
      <c r="Y227" s="5">
        <v>8.4600000000000009</v>
      </c>
      <c r="Z227" s="5">
        <v>5270</v>
      </c>
      <c r="AA227" s="5">
        <v>5270</v>
      </c>
      <c r="AB227" s="5">
        <v>5270</v>
      </c>
      <c r="AC227" s="5">
        <v>0.06</v>
      </c>
      <c r="AD227" s="5">
        <v>-0.01</v>
      </c>
      <c r="AE227" s="5">
        <v>-0.03</v>
      </c>
      <c r="AF227" s="5">
        <v>6.6100000000000004E-3</v>
      </c>
      <c r="AG227" s="5">
        <v>0</v>
      </c>
      <c r="AH227" s="5">
        <v>-0.02</v>
      </c>
      <c r="AI227" s="5">
        <v>-1.6389999999999998E-2</v>
      </c>
      <c r="AJ227" s="5">
        <v>1.32E-3</v>
      </c>
      <c r="AK227" s="5">
        <v>4.8000000000000001E-4</v>
      </c>
      <c r="AL227" s="5">
        <v>0</v>
      </c>
      <c r="AM227" s="5">
        <v>0</v>
      </c>
      <c r="AN227" s="5">
        <v>7.0000000000000001E-3</v>
      </c>
      <c r="AO227" s="6">
        <f t="shared" si="68"/>
        <v>1</v>
      </c>
      <c r="AP227" s="5">
        <f t="shared" si="69"/>
        <v>0</v>
      </c>
      <c r="AQ227" s="8">
        <f t="shared" si="70"/>
        <v>0</v>
      </c>
      <c r="AR227" s="6">
        <f t="shared" si="71"/>
        <v>1</v>
      </c>
      <c r="AS227" s="6">
        <f t="shared" si="72"/>
        <v>0</v>
      </c>
      <c r="AT227" s="6">
        <f t="shared" si="73"/>
        <v>1.391691601141222E-2</v>
      </c>
      <c r="AU227" s="6">
        <f t="shared" si="74"/>
        <v>0</v>
      </c>
      <c r="AV227" s="5">
        <f t="shared" si="75"/>
        <v>0</v>
      </c>
      <c r="AW227" s="5">
        <f t="shared" si="76"/>
        <v>0</v>
      </c>
      <c r="AX227" s="5">
        <f t="shared" si="77"/>
        <v>0</v>
      </c>
      <c r="AY227" s="5">
        <f t="shared" si="78"/>
        <v>5</v>
      </c>
      <c r="AZ227" s="5">
        <f t="shared" si="79"/>
        <v>5</v>
      </c>
    </row>
    <row r="228" spans="1:52" x14ac:dyDescent="0.3">
      <c r="A228" s="5" t="s">
        <v>64</v>
      </c>
      <c r="B228" s="5" t="s">
        <v>62</v>
      </c>
      <c r="C228" s="5" t="s">
        <v>54</v>
      </c>
      <c r="D228" s="5" t="s">
        <v>65</v>
      </c>
      <c r="E228" s="5" t="s">
        <v>55</v>
      </c>
      <c r="F228" s="5">
        <v>2</v>
      </c>
      <c r="G228" s="5">
        <v>0.04</v>
      </c>
      <c r="H228" s="5" t="b">
        <v>0</v>
      </c>
      <c r="I228" s="5" t="b">
        <v>1</v>
      </c>
      <c r="J228" s="5" t="b">
        <v>1</v>
      </c>
      <c r="K228" s="5">
        <v>2.9529999999999998</v>
      </c>
      <c r="L228" s="5">
        <v>5.1999999999999998E-2</v>
      </c>
      <c r="M228" s="5">
        <v>-5.8000000000000003E-2</v>
      </c>
      <c r="N228" s="5">
        <v>-54.470999999999997</v>
      </c>
      <c r="O228" s="5">
        <v>3.6999999999999998E-2</v>
      </c>
      <c r="P228" s="5">
        <v>5.0000000000000001E-3</v>
      </c>
      <c r="Q228" s="6">
        <v>1E-3</v>
      </c>
      <c r="R228" s="6">
        <v>0.18</v>
      </c>
      <c r="S228" s="7">
        <v>2915.3229999999999</v>
      </c>
      <c r="T228" s="5">
        <v>1838.375</v>
      </c>
      <c r="U228" s="5">
        <v>1.6930000000000001</v>
      </c>
      <c r="V228" s="5">
        <v>2.1429999999999998</v>
      </c>
      <c r="W228" s="5">
        <v>1.417</v>
      </c>
      <c r="X228" s="5">
        <v>3.3140000000000001</v>
      </c>
      <c r="Y228" s="5">
        <v>8.5690000000000008</v>
      </c>
      <c r="Z228" s="5">
        <v>5270</v>
      </c>
      <c r="AA228" s="5">
        <v>5270</v>
      </c>
      <c r="AB228" s="5">
        <v>5270</v>
      </c>
      <c r="AC228" s="5">
        <v>0.06</v>
      </c>
      <c r="AD228" s="5">
        <v>-0.01</v>
      </c>
      <c r="AE228" s="5">
        <v>-0.03</v>
      </c>
      <c r="AF228" s="5">
        <v>6.6100000000000004E-3</v>
      </c>
      <c r="AG228" s="5">
        <v>0</v>
      </c>
      <c r="AH228" s="5">
        <v>0</v>
      </c>
      <c r="AI228" s="5">
        <v>0</v>
      </c>
      <c r="AJ228" s="5">
        <v>1.4300000000000001E-3</v>
      </c>
      <c r="AK228" s="5">
        <v>1.0300000000000001E-3</v>
      </c>
      <c r="AL228" s="5">
        <v>0</v>
      </c>
      <c r="AM228" s="5">
        <v>0</v>
      </c>
      <c r="AN228" s="5">
        <v>3.0000000000000001E-3</v>
      </c>
      <c r="AO228" s="6">
        <f t="shared" si="68"/>
        <v>1</v>
      </c>
      <c r="AP228" s="5">
        <f t="shared" si="69"/>
        <v>0</v>
      </c>
      <c r="AQ228" s="8">
        <f t="shared" si="70"/>
        <v>0</v>
      </c>
      <c r="AR228" s="6">
        <f t="shared" si="71"/>
        <v>1</v>
      </c>
      <c r="AS228" s="6">
        <f t="shared" si="72"/>
        <v>0</v>
      </c>
      <c r="AT228" s="6">
        <f t="shared" si="73"/>
        <v>0</v>
      </c>
      <c r="AU228" s="6">
        <f t="shared" si="74"/>
        <v>0</v>
      </c>
      <c r="AV228" s="5">
        <f t="shared" si="75"/>
        <v>0</v>
      </c>
      <c r="AW228" s="5">
        <f t="shared" si="76"/>
        <v>0</v>
      </c>
      <c r="AX228" s="5">
        <f t="shared" si="77"/>
        <v>0</v>
      </c>
      <c r="AY228" s="5">
        <f t="shared" si="78"/>
        <v>5</v>
      </c>
      <c r="AZ228" s="5">
        <f t="shared" si="79"/>
        <v>5</v>
      </c>
    </row>
    <row r="229" spans="1:52" x14ac:dyDescent="0.3">
      <c r="A229" s="5" t="s">
        <v>64</v>
      </c>
      <c r="B229" s="5" t="s">
        <v>62</v>
      </c>
      <c r="C229" s="5" t="s">
        <v>54</v>
      </c>
      <c r="D229" s="5" t="s">
        <v>65</v>
      </c>
      <c r="E229" s="5" t="s">
        <v>55</v>
      </c>
      <c r="F229" s="5">
        <v>2</v>
      </c>
      <c r="G229" s="5">
        <v>0.04</v>
      </c>
      <c r="H229" s="5" t="b">
        <v>0</v>
      </c>
      <c r="I229" s="5" t="b">
        <v>1</v>
      </c>
      <c r="J229" s="5" t="b">
        <v>1</v>
      </c>
      <c r="K229" s="5">
        <v>2.9529999999999998</v>
      </c>
      <c r="L229" s="5">
        <v>5.1999999999999998E-2</v>
      </c>
      <c r="M229" s="5">
        <v>-5.8000000000000003E-2</v>
      </c>
      <c r="N229" s="5">
        <v>-54.470999999999997</v>
      </c>
      <c r="O229" s="5">
        <v>3.6999999999999998E-2</v>
      </c>
      <c r="P229" s="5">
        <v>5.0000000000000001E-3</v>
      </c>
      <c r="Q229" s="6">
        <v>1E-3</v>
      </c>
      <c r="R229" s="6">
        <v>0.18</v>
      </c>
      <c r="S229" s="7">
        <v>2926.855</v>
      </c>
      <c r="T229" s="5">
        <v>1838.375</v>
      </c>
      <c r="U229" s="5">
        <v>1.5529999999999999</v>
      </c>
      <c r="V229" s="5">
        <v>2.1989999999999998</v>
      </c>
      <c r="W229" s="5">
        <v>1.429</v>
      </c>
      <c r="X229" s="5">
        <v>4.3630000000000004</v>
      </c>
      <c r="Y229" s="5">
        <v>9.5459999999999994</v>
      </c>
      <c r="Z229" s="5">
        <v>5270</v>
      </c>
      <c r="AA229" s="5">
        <v>5270</v>
      </c>
      <c r="AB229" s="5">
        <v>5270</v>
      </c>
      <c r="AC229" s="5">
        <v>0.06</v>
      </c>
      <c r="AD229" s="5">
        <v>-0.01</v>
      </c>
      <c r="AE229" s="5">
        <v>-0.03</v>
      </c>
      <c r="AF229" s="5">
        <v>6.6100000000000004E-3</v>
      </c>
      <c r="AG229" s="5">
        <v>0</v>
      </c>
      <c r="AH229" s="5">
        <v>0</v>
      </c>
      <c r="AI229" s="5">
        <v>0</v>
      </c>
      <c r="AJ229" s="5">
        <v>0</v>
      </c>
      <c r="AK229" s="5">
        <v>7.9000000000000001E-4</v>
      </c>
      <c r="AL229" s="5">
        <v>0</v>
      </c>
      <c r="AM229" s="5">
        <v>0</v>
      </c>
      <c r="AN229" s="5">
        <v>3.0000000000000001E-3</v>
      </c>
      <c r="AO229" s="6">
        <f t="shared" si="68"/>
        <v>1</v>
      </c>
      <c r="AP229" s="5">
        <f t="shared" si="69"/>
        <v>0</v>
      </c>
      <c r="AQ229" s="8">
        <f t="shared" si="70"/>
        <v>0</v>
      </c>
      <c r="AR229" s="6">
        <f t="shared" si="71"/>
        <v>1</v>
      </c>
      <c r="AS229" s="6">
        <f t="shared" si="72"/>
        <v>0</v>
      </c>
      <c r="AT229" s="6">
        <f t="shared" si="73"/>
        <v>0</v>
      </c>
      <c r="AU229" s="6">
        <f t="shared" si="74"/>
        <v>0</v>
      </c>
      <c r="AV229" s="5">
        <f t="shared" si="75"/>
        <v>0</v>
      </c>
      <c r="AW229" s="5">
        <f t="shared" si="76"/>
        <v>0</v>
      </c>
      <c r="AX229" s="5">
        <f t="shared" si="77"/>
        <v>0</v>
      </c>
      <c r="AY229" s="5">
        <f t="shared" si="78"/>
        <v>5</v>
      </c>
      <c r="AZ229" s="5">
        <f t="shared" si="79"/>
        <v>5</v>
      </c>
    </row>
    <row r="230" spans="1:52" x14ac:dyDescent="0.3">
      <c r="A230" s="5" t="s">
        <v>64</v>
      </c>
      <c r="B230" s="5" t="s">
        <v>62</v>
      </c>
      <c r="C230" s="5" t="s">
        <v>54</v>
      </c>
      <c r="D230" s="5" t="s">
        <v>65</v>
      </c>
      <c r="E230" s="5" t="s">
        <v>55</v>
      </c>
      <c r="F230" s="5">
        <v>2</v>
      </c>
      <c r="G230" s="5">
        <v>0.04</v>
      </c>
      <c r="H230" s="5" t="b">
        <v>0</v>
      </c>
      <c r="I230" s="5" t="b">
        <v>1</v>
      </c>
      <c r="J230" s="5" t="b">
        <v>1</v>
      </c>
      <c r="K230" s="5">
        <v>2.9529999999999998</v>
      </c>
      <c r="L230" s="5">
        <v>5.1999999999999998E-2</v>
      </c>
      <c r="M230" s="5">
        <v>-5.8000000000000003E-2</v>
      </c>
      <c r="N230" s="5">
        <v>-54.470999999999997</v>
      </c>
      <c r="O230" s="5">
        <v>3.6999999999999998E-2</v>
      </c>
      <c r="P230" s="5">
        <v>5.0000000000000001E-3</v>
      </c>
      <c r="Q230" s="6">
        <v>1E-3</v>
      </c>
      <c r="R230" s="6">
        <v>0.18</v>
      </c>
      <c r="S230" s="7">
        <v>2942.5450000000001</v>
      </c>
      <c r="T230" s="5">
        <v>1838.375</v>
      </c>
      <c r="U230" s="5">
        <v>1.907</v>
      </c>
      <c r="V230" s="5">
        <v>2.2429999999999999</v>
      </c>
      <c r="W230" s="5">
        <v>1.345</v>
      </c>
      <c r="X230" s="5">
        <v>3.4220000000000002</v>
      </c>
      <c r="Y230" s="5">
        <v>8.9190000000000005</v>
      </c>
      <c r="Z230" s="5">
        <v>5270</v>
      </c>
      <c r="AA230" s="5">
        <v>5270</v>
      </c>
      <c r="AB230" s="5">
        <v>5270</v>
      </c>
      <c r="AC230" s="5">
        <v>0.06</v>
      </c>
      <c r="AD230" s="5">
        <v>-0.01</v>
      </c>
      <c r="AE230" s="5">
        <v>-0.03</v>
      </c>
      <c r="AF230" s="5">
        <v>6.6100000000000004E-3</v>
      </c>
      <c r="AG230" s="5">
        <v>0</v>
      </c>
      <c r="AH230" s="5">
        <v>0</v>
      </c>
      <c r="AI230" s="5">
        <v>0</v>
      </c>
      <c r="AJ230" s="5">
        <v>0</v>
      </c>
      <c r="AK230" s="5">
        <v>7.5000000000000002E-4</v>
      </c>
      <c r="AL230" s="5">
        <v>0</v>
      </c>
      <c r="AM230" s="5">
        <v>0</v>
      </c>
      <c r="AN230" s="5">
        <v>0</v>
      </c>
      <c r="AO230" s="6">
        <f t="shared" si="68"/>
        <v>1</v>
      </c>
      <c r="AP230" s="5">
        <f t="shared" si="69"/>
        <v>0</v>
      </c>
      <c r="AQ230" s="8">
        <f t="shared" si="70"/>
        <v>0</v>
      </c>
      <c r="AR230" s="6">
        <f t="shared" si="71"/>
        <v>1</v>
      </c>
      <c r="AS230" s="6">
        <f t="shared" si="72"/>
        <v>0</v>
      </c>
      <c r="AT230" s="6">
        <f t="shared" si="73"/>
        <v>0</v>
      </c>
      <c r="AU230" s="6">
        <f t="shared" si="74"/>
        <v>0</v>
      </c>
      <c r="AV230" s="5">
        <f t="shared" si="75"/>
        <v>0</v>
      </c>
      <c r="AW230" s="5">
        <f t="shared" si="76"/>
        <v>0</v>
      </c>
      <c r="AX230" s="5">
        <f t="shared" si="77"/>
        <v>0</v>
      </c>
      <c r="AY230" s="5">
        <f t="shared" si="78"/>
        <v>5</v>
      </c>
      <c r="AZ230" s="5">
        <f t="shared" si="79"/>
        <v>5</v>
      </c>
    </row>
    <row r="231" spans="1:52" x14ac:dyDescent="0.3">
      <c r="A231" s="5" t="s">
        <v>64</v>
      </c>
      <c r="B231" s="5" t="s">
        <v>62</v>
      </c>
      <c r="C231" s="5" t="s">
        <v>54</v>
      </c>
      <c r="D231" s="5" t="s">
        <v>65</v>
      </c>
      <c r="E231" s="5" t="s">
        <v>55</v>
      </c>
      <c r="F231" s="5">
        <v>2</v>
      </c>
      <c r="G231" s="5">
        <v>0.04</v>
      </c>
      <c r="H231" s="5" t="b">
        <v>0</v>
      </c>
      <c r="I231" s="5" t="b">
        <v>1</v>
      </c>
      <c r="J231" s="5" t="b">
        <v>1</v>
      </c>
      <c r="K231" s="5">
        <v>2.9529999999999998</v>
      </c>
      <c r="L231" s="5">
        <v>5.1999999999999998E-2</v>
      </c>
      <c r="M231" s="5">
        <v>-5.8000000000000003E-2</v>
      </c>
      <c r="N231" s="5">
        <v>-54.470999999999997</v>
      </c>
      <c r="O231" s="5">
        <v>3.6999999999999998E-2</v>
      </c>
      <c r="P231" s="5">
        <v>5.0000000000000001E-3</v>
      </c>
      <c r="Q231" s="6">
        <v>1E-3</v>
      </c>
      <c r="R231" s="6">
        <v>0.18</v>
      </c>
      <c r="S231" s="7">
        <v>2954.451</v>
      </c>
      <c r="T231" s="5">
        <v>1838.375</v>
      </c>
      <c r="U231" s="5">
        <v>1.464</v>
      </c>
      <c r="V231" s="5">
        <v>2.3860000000000001</v>
      </c>
      <c r="W231" s="5">
        <v>1.514</v>
      </c>
      <c r="X231" s="5">
        <v>3.536</v>
      </c>
      <c r="Y231" s="5">
        <v>8.9019999999999992</v>
      </c>
      <c r="Z231" s="5">
        <v>5270</v>
      </c>
      <c r="AA231" s="5">
        <v>5270</v>
      </c>
      <c r="AB231" s="5">
        <v>5270</v>
      </c>
      <c r="AC231" s="5">
        <v>0.06</v>
      </c>
      <c r="AD231" s="5">
        <v>-0.01</v>
      </c>
      <c r="AE231" s="5">
        <v>-0.03</v>
      </c>
      <c r="AF231" s="5">
        <v>6.6100000000000004E-3</v>
      </c>
      <c r="AG231" s="5">
        <v>0</v>
      </c>
      <c r="AH231" s="5">
        <v>0</v>
      </c>
      <c r="AI231" s="5">
        <v>0</v>
      </c>
      <c r="AJ231" s="5">
        <v>0</v>
      </c>
      <c r="AK231" s="5">
        <v>5.1000000000000004E-4</v>
      </c>
      <c r="AL231" s="5">
        <v>0</v>
      </c>
      <c r="AM231" s="5">
        <v>0</v>
      </c>
      <c r="AN231" s="5">
        <v>0</v>
      </c>
      <c r="AO231" s="6">
        <f t="shared" si="68"/>
        <v>1</v>
      </c>
      <c r="AP231" s="5">
        <f t="shared" si="69"/>
        <v>0</v>
      </c>
      <c r="AQ231" s="8">
        <f t="shared" si="70"/>
        <v>0</v>
      </c>
      <c r="AR231" s="6">
        <f t="shared" si="71"/>
        <v>1</v>
      </c>
      <c r="AS231" s="6">
        <f t="shared" si="72"/>
        <v>0</v>
      </c>
      <c r="AT231" s="6">
        <f t="shared" si="73"/>
        <v>0</v>
      </c>
      <c r="AU231" s="6">
        <f t="shared" si="74"/>
        <v>0</v>
      </c>
      <c r="AV231" s="5">
        <f t="shared" si="75"/>
        <v>0</v>
      </c>
      <c r="AW231" s="5">
        <f t="shared" si="76"/>
        <v>0</v>
      </c>
      <c r="AX231" s="5">
        <f t="shared" si="77"/>
        <v>0</v>
      </c>
      <c r="AY231" s="5">
        <f t="shared" si="78"/>
        <v>5</v>
      </c>
      <c r="AZ231" s="5">
        <f t="shared" si="79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AC2E-9B43-4660-9FB0-A7C948B129C7}">
  <dimension ref="A1"/>
  <sheetViews>
    <sheetView tabSelected="1" topLeftCell="A44" zoomScaleNormal="100" workbookViewId="0">
      <selection activeCell="A31" sqref="A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 Nayal</dc:creator>
  <cp:lastModifiedBy>Murad Nayal</cp:lastModifiedBy>
  <dcterms:created xsi:type="dcterms:W3CDTF">2025-02-24T13:51:36Z</dcterms:created>
  <dcterms:modified xsi:type="dcterms:W3CDTF">2025-02-28T13:04:10Z</dcterms:modified>
</cp:coreProperties>
</file>