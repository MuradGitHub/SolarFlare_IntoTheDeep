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esktop\Motor Calibration\MotorProfiles - 48 - Motion Profile - J - No lookback for dError\"/>
    </mc:Choice>
  </mc:AlternateContent>
  <xr:revisionPtr revIDLastSave="0" documentId="13_ncr:1_{5F499EAA-AD4B-47DD-BF22-7A87C71065F2}" xr6:coauthVersionLast="47" xr6:coauthVersionMax="47" xr10:uidLastSave="{00000000-0000-0000-0000-000000000000}"/>
  <bookViews>
    <workbookView xWindow="1128" yWindow="1164" windowWidth="28932" windowHeight="14052" activeTab="1" xr2:uid="{F0E18EB4-BAA8-4E6C-9B14-57CCBECD9F69}"/>
  </bookViews>
  <sheets>
    <sheet name="Data" sheetId="1" r:id="rId1"/>
    <sheet name="Charts" sheetId="2" r:id="rId2"/>
  </sheets>
  <calcPr calcId="191029"/>
</workbook>
</file>

<file path=xl/calcChain.xml><?xml version="1.0" encoding="utf-8"?>
<calcChain xmlns="http://schemas.openxmlformats.org/spreadsheetml/2006/main">
  <c r="AO199" i="1" l="1"/>
  <c r="AP199" i="1"/>
  <c r="AR199" i="1"/>
  <c r="AS199" i="1"/>
  <c r="AV199" i="1"/>
  <c r="AW199" i="1"/>
  <c r="AX199" i="1"/>
  <c r="AY199" i="1"/>
  <c r="AZ199" i="1"/>
  <c r="AO200" i="1"/>
  <c r="AP200" i="1"/>
  <c r="AS200" i="1" s="1"/>
  <c r="AR200" i="1"/>
  <c r="AV200" i="1"/>
  <c r="AW200" i="1"/>
  <c r="AX200" i="1"/>
  <c r="AY200" i="1"/>
  <c r="AZ200" i="1"/>
  <c r="AO201" i="1"/>
  <c r="AP201" i="1"/>
  <c r="AS201" i="1" s="1"/>
  <c r="AR201" i="1"/>
  <c r="AV201" i="1"/>
  <c r="AW201" i="1"/>
  <c r="AX201" i="1"/>
  <c r="AY201" i="1"/>
  <c r="AZ201" i="1"/>
  <c r="AO189" i="1"/>
  <c r="AP189" i="1"/>
  <c r="AS189" i="1" s="1"/>
  <c r="AR189" i="1"/>
  <c r="AV189" i="1"/>
  <c r="AW189" i="1"/>
  <c r="AX189" i="1"/>
  <c r="AY189" i="1"/>
  <c r="AZ189" i="1"/>
  <c r="AO190" i="1"/>
  <c r="AP190" i="1"/>
  <c r="AS190" i="1" s="1"/>
  <c r="AR190" i="1"/>
  <c r="AV190" i="1"/>
  <c r="AW190" i="1"/>
  <c r="AX190" i="1"/>
  <c r="AY190" i="1"/>
  <c r="AZ190" i="1"/>
  <c r="AO191" i="1"/>
  <c r="AP191" i="1"/>
  <c r="AS191" i="1" s="1"/>
  <c r="AR191" i="1"/>
  <c r="AV191" i="1"/>
  <c r="AW191" i="1"/>
  <c r="AX191" i="1"/>
  <c r="AY191" i="1"/>
  <c r="AZ191" i="1"/>
  <c r="AO192" i="1"/>
  <c r="AP192" i="1"/>
  <c r="AS192" i="1" s="1"/>
  <c r="AR192" i="1"/>
  <c r="AV192" i="1"/>
  <c r="AW192" i="1"/>
  <c r="AX192" i="1"/>
  <c r="AY192" i="1"/>
  <c r="AZ192" i="1"/>
  <c r="AO193" i="1"/>
  <c r="AP193" i="1"/>
  <c r="AS193" i="1" s="1"/>
  <c r="AR193" i="1"/>
  <c r="AV193" i="1"/>
  <c r="AW193" i="1"/>
  <c r="AX193" i="1"/>
  <c r="AY193" i="1"/>
  <c r="AZ193" i="1"/>
  <c r="AO194" i="1"/>
  <c r="AP194" i="1"/>
  <c r="AS194" i="1" s="1"/>
  <c r="AR194" i="1"/>
  <c r="AV194" i="1"/>
  <c r="AW194" i="1"/>
  <c r="AX194" i="1"/>
  <c r="AY194" i="1"/>
  <c r="AZ194" i="1"/>
  <c r="AO195" i="1"/>
  <c r="AP195" i="1"/>
  <c r="AR195" i="1"/>
  <c r="AV195" i="1"/>
  <c r="AW195" i="1"/>
  <c r="AX195" i="1"/>
  <c r="AY195" i="1"/>
  <c r="AZ195" i="1"/>
  <c r="AO196" i="1"/>
  <c r="AP196" i="1"/>
  <c r="AS196" i="1" s="1"/>
  <c r="AR196" i="1"/>
  <c r="AV196" i="1"/>
  <c r="AW196" i="1"/>
  <c r="AX196" i="1"/>
  <c r="AY196" i="1"/>
  <c r="AZ196" i="1"/>
  <c r="AO197" i="1"/>
  <c r="AP197" i="1"/>
  <c r="AS197" i="1" s="1"/>
  <c r="AR197" i="1"/>
  <c r="AV197" i="1"/>
  <c r="AW197" i="1"/>
  <c r="AX197" i="1"/>
  <c r="AY197" i="1"/>
  <c r="AZ197" i="1"/>
  <c r="AO198" i="1"/>
  <c r="AP198" i="1"/>
  <c r="AS198" i="1" s="1"/>
  <c r="AR198" i="1"/>
  <c r="AV198" i="1"/>
  <c r="AW198" i="1"/>
  <c r="AX198" i="1"/>
  <c r="AY198" i="1"/>
  <c r="AZ19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2" i="1"/>
  <c r="AP3" i="1"/>
  <c r="AP4" i="1"/>
  <c r="AP5" i="1"/>
  <c r="AS5" i="1" s="1"/>
  <c r="AP6" i="1"/>
  <c r="AS6" i="1" s="1"/>
  <c r="AP7" i="1"/>
  <c r="AS7" i="1" s="1"/>
  <c r="AP8" i="1"/>
  <c r="AS8" i="1" s="1"/>
  <c r="AP9" i="1"/>
  <c r="AP10" i="1"/>
  <c r="AS10" i="1" s="1"/>
  <c r="AP11" i="1"/>
  <c r="AP12" i="1"/>
  <c r="AS12" i="1" s="1"/>
  <c r="AP13" i="1"/>
  <c r="AP14" i="1"/>
  <c r="AS14" i="1" s="1"/>
  <c r="AP15" i="1"/>
  <c r="AS15" i="1" s="1"/>
  <c r="AP16" i="1"/>
  <c r="AS16" i="1" s="1"/>
  <c r="AP17" i="1"/>
  <c r="AS17" i="1" s="1"/>
  <c r="AP18" i="1"/>
  <c r="AS18" i="1" s="1"/>
  <c r="AP19" i="1"/>
  <c r="AS19" i="1" s="1"/>
  <c r="AP20" i="1"/>
  <c r="AP21" i="1"/>
  <c r="AS21" i="1" s="1"/>
  <c r="AP22" i="1"/>
  <c r="AS22" i="1" s="1"/>
  <c r="AP23" i="1"/>
  <c r="AS23" i="1" s="1"/>
  <c r="AP24" i="1"/>
  <c r="AS24" i="1" s="1"/>
  <c r="AP25" i="1"/>
  <c r="AP26" i="1"/>
  <c r="AS26" i="1" s="1"/>
  <c r="AP27" i="1"/>
  <c r="AP28" i="1"/>
  <c r="AS28" i="1" s="1"/>
  <c r="AP29" i="1"/>
  <c r="AP30" i="1"/>
  <c r="AS30" i="1" s="1"/>
  <c r="AP31" i="1"/>
  <c r="AS31" i="1" s="1"/>
  <c r="AP32" i="1"/>
  <c r="AS32" i="1" s="1"/>
  <c r="AP33" i="1"/>
  <c r="AS33" i="1" s="1"/>
  <c r="AP34" i="1"/>
  <c r="AS34" i="1" s="1"/>
  <c r="AP35" i="1"/>
  <c r="AS35" i="1" s="1"/>
  <c r="AP36" i="1"/>
  <c r="AS36" i="1" s="1"/>
  <c r="AP37" i="1"/>
  <c r="AS37" i="1" s="1"/>
  <c r="AP38" i="1"/>
  <c r="AS38" i="1" s="1"/>
  <c r="AP39" i="1"/>
  <c r="AS39" i="1" s="1"/>
  <c r="AP40" i="1"/>
  <c r="AS40" i="1" s="1"/>
  <c r="AP41" i="1"/>
  <c r="AP42" i="1"/>
  <c r="AS42" i="1" s="1"/>
  <c r="AP43" i="1"/>
  <c r="AP44" i="1"/>
  <c r="AS44" i="1" s="1"/>
  <c r="AP45" i="1"/>
  <c r="AP46" i="1"/>
  <c r="AS46" i="1" s="1"/>
  <c r="AP47" i="1"/>
  <c r="AS47" i="1" s="1"/>
  <c r="AP48" i="1"/>
  <c r="AS48" i="1" s="1"/>
  <c r="AP49" i="1"/>
  <c r="AS49" i="1" s="1"/>
  <c r="AP50" i="1"/>
  <c r="AS50" i="1" s="1"/>
  <c r="AP51" i="1"/>
  <c r="AS51" i="1" s="1"/>
  <c r="AP52" i="1"/>
  <c r="AS52" i="1" s="1"/>
  <c r="AP53" i="1"/>
  <c r="AS53" i="1" s="1"/>
  <c r="AP54" i="1"/>
  <c r="AS54" i="1" s="1"/>
  <c r="AP55" i="1"/>
  <c r="AS55" i="1" s="1"/>
  <c r="AP56" i="1"/>
  <c r="AS56" i="1" s="1"/>
  <c r="AP57" i="1"/>
  <c r="AP58" i="1"/>
  <c r="AP59" i="1"/>
  <c r="AP60" i="1"/>
  <c r="AS60" i="1" s="1"/>
  <c r="AP61" i="1"/>
  <c r="AP62" i="1"/>
  <c r="AS62" i="1" s="1"/>
  <c r="AP63" i="1"/>
  <c r="AS63" i="1" s="1"/>
  <c r="AP64" i="1"/>
  <c r="AS64" i="1" s="1"/>
  <c r="AP65" i="1"/>
  <c r="AS65" i="1" s="1"/>
  <c r="AP66" i="1"/>
  <c r="AS66" i="1" s="1"/>
  <c r="AP67" i="1"/>
  <c r="AS67" i="1" s="1"/>
  <c r="AP68" i="1"/>
  <c r="AS68" i="1" s="1"/>
  <c r="AP69" i="1"/>
  <c r="AS69" i="1" s="1"/>
  <c r="AP70" i="1"/>
  <c r="AS70" i="1" s="1"/>
  <c r="AP71" i="1"/>
  <c r="AS71" i="1" s="1"/>
  <c r="AP72" i="1"/>
  <c r="AS72" i="1" s="1"/>
  <c r="AP73" i="1"/>
  <c r="AP74" i="1"/>
  <c r="AS74" i="1" s="1"/>
  <c r="AP75" i="1"/>
  <c r="AP76" i="1"/>
  <c r="AS76" i="1" s="1"/>
  <c r="AP77" i="1"/>
  <c r="AP78" i="1"/>
  <c r="AS78" i="1" s="1"/>
  <c r="AP79" i="1"/>
  <c r="AS79" i="1" s="1"/>
  <c r="AP80" i="1"/>
  <c r="AS80" i="1" s="1"/>
  <c r="AP81" i="1"/>
  <c r="AS81" i="1" s="1"/>
  <c r="AP82" i="1"/>
  <c r="AS82" i="1" s="1"/>
  <c r="AP83" i="1"/>
  <c r="AS83" i="1" s="1"/>
  <c r="AP84" i="1"/>
  <c r="AP85" i="1"/>
  <c r="AS85" i="1" s="1"/>
  <c r="AP86" i="1"/>
  <c r="AS86" i="1" s="1"/>
  <c r="AP87" i="1"/>
  <c r="AS87" i="1" s="1"/>
  <c r="AP88" i="1"/>
  <c r="AS88" i="1" s="1"/>
  <c r="AP89" i="1"/>
  <c r="AP90" i="1"/>
  <c r="AS90" i="1" s="1"/>
  <c r="AP91" i="1"/>
  <c r="AP92" i="1"/>
  <c r="AS92" i="1" s="1"/>
  <c r="AP93" i="1"/>
  <c r="AP94" i="1"/>
  <c r="AS94" i="1" s="1"/>
  <c r="AP95" i="1"/>
  <c r="AS95" i="1" s="1"/>
  <c r="AP96" i="1"/>
  <c r="AS96" i="1" s="1"/>
  <c r="AP97" i="1"/>
  <c r="AS97" i="1" s="1"/>
  <c r="AP98" i="1"/>
  <c r="AS98" i="1" s="1"/>
  <c r="AP99" i="1"/>
  <c r="AS99" i="1" s="1"/>
  <c r="AP100" i="1"/>
  <c r="AP101" i="1"/>
  <c r="AS101" i="1" s="1"/>
  <c r="AP102" i="1"/>
  <c r="AS102" i="1" s="1"/>
  <c r="AP103" i="1"/>
  <c r="AS103" i="1" s="1"/>
  <c r="AP104" i="1"/>
  <c r="AS104" i="1" s="1"/>
  <c r="AP105" i="1"/>
  <c r="AP106" i="1"/>
  <c r="AS106" i="1" s="1"/>
  <c r="AP107" i="1"/>
  <c r="AP108" i="1"/>
  <c r="AS108" i="1" s="1"/>
  <c r="AP109" i="1"/>
  <c r="AP110" i="1"/>
  <c r="AS110" i="1" s="1"/>
  <c r="AP111" i="1"/>
  <c r="AS111" i="1" s="1"/>
  <c r="AP112" i="1"/>
  <c r="AS112" i="1" s="1"/>
  <c r="AP113" i="1"/>
  <c r="AS113" i="1" s="1"/>
  <c r="AP114" i="1"/>
  <c r="AS114" i="1" s="1"/>
  <c r="AP115" i="1"/>
  <c r="AS115" i="1" s="1"/>
  <c r="AP116" i="1"/>
  <c r="AS116" i="1" s="1"/>
  <c r="AP117" i="1"/>
  <c r="AS117" i="1" s="1"/>
  <c r="AP118" i="1"/>
  <c r="AS118" i="1" s="1"/>
  <c r="AP119" i="1"/>
  <c r="AS119" i="1" s="1"/>
  <c r="AP120" i="1"/>
  <c r="AS120" i="1" s="1"/>
  <c r="AP121" i="1"/>
  <c r="AP122" i="1"/>
  <c r="AP123" i="1"/>
  <c r="AP124" i="1"/>
  <c r="AS124" i="1" s="1"/>
  <c r="AP125" i="1"/>
  <c r="AP126" i="1"/>
  <c r="AS126" i="1" s="1"/>
  <c r="AP127" i="1"/>
  <c r="AS127" i="1" s="1"/>
  <c r="AP128" i="1"/>
  <c r="AS128" i="1" s="1"/>
  <c r="AP129" i="1"/>
  <c r="AS129" i="1" s="1"/>
  <c r="AP130" i="1"/>
  <c r="AS130" i="1" s="1"/>
  <c r="AP131" i="1"/>
  <c r="AS131" i="1" s="1"/>
  <c r="AP132" i="1"/>
  <c r="AP133" i="1"/>
  <c r="AS133" i="1" s="1"/>
  <c r="AP134" i="1"/>
  <c r="AS134" i="1" s="1"/>
  <c r="AP135" i="1"/>
  <c r="AS135" i="1" s="1"/>
  <c r="AP136" i="1"/>
  <c r="AS136" i="1" s="1"/>
  <c r="AP137" i="1"/>
  <c r="AP138" i="1"/>
  <c r="AS138" i="1" s="1"/>
  <c r="AP139" i="1"/>
  <c r="AP140" i="1"/>
  <c r="AS140" i="1" s="1"/>
  <c r="AP141" i="1"/>
  <c r="AP142" i="1"/>
  <c r="AS142" i="1" s="1"/>
  <c r="AP143" i="1"/>
  <c r="AS143" i="1" s="1"/>
  <c r="AP144" i="1"/>
  <c r="AS144" i="1" s="1"/>
  <c r="AP145" i="1"/>
  <c r="AS145" i="1" s="1"/>
  <c r="AP146" i="1"/>
  <c r="AS146" i="1" s="1"/>
  <c r="AP147" i="1"/>
  <c r="AS147" i="1" s="1"/>
  <c r="AP148" i="1"/>
  <c r="AP149" i="1"/>
  <c r="AS149" i="1" s="1"/>
  <c r="AP150" i="1"/>
  <c r="AS150" i="1" s="1"/>
  <c r="AP151" i="1"/>
  <c r="AS151" i="1" s="1"/>
  <c r="AP152" i="1"/>
  <c r="AS152" i="1" s="1"/>
  <c r="AP153" i="1"/>
  <c r="AP154" i="1"/>
  <c r="AS154" i="1" s="1"/>
  <c r="AP155" i="1"/>
  <c r="AP156" i="1"/>
  <c r="AS156" i="1" s="1"/>
  <c r="AP157" i="1"/>
  <c r="AP158" i="1"/>
  <c r="AS158" i="1" s="1"/>
  <c r="AP159" i="1"/>
  <c r="AS159" i="1" s="1"/>
  <c r="AP160" i="1"/>
  <c r="AS160" i="1" s="1"/>
  <c r="AP161" i="1"/>
  <c r="AS161" i="1" s="1"/>
  <c r="AP162" i="1"/>
  <c r="AS162" i="1" s="1"/>
  <c r="AP163" i="1"/>
  <c r="AS163" i="1" s="1"/>
  <c r="AP164" i="1"/>
  <c r="AP165" i="1"/>
  <c r="AS165" i="1" s="1"/>
  <c r="AP166" i="1"/>
  <c r="AS166" i="1" s="1"/>
  <c r="AP167" i="1"/>
  <c r="AS167" i="1" s="1"/>
  <c r="AP168" i="1"/>
  <c r="AS168" i="1" s="1"/>
  <c r="AP169" i="1"/>
  <c r="AP170" i="1"/>
  <c r="AS170" i="1" s="1"/>
  <c r="AP171" i="1"/>
  <c r="AP172" i="1"/>
  <c r="AS172" i="1" s="1"/>
  <c r="AP173" i="1"/>
  <c r="AP174" i="1"/>
  <c r="AS174" i="1" s="1"/>
  <c r="AP175" i="1"/>
  <c r="AS175" i="1" s="1"/>
  <c r="AP176" i="1"/>
  <c r="AS176" i="1" s="1"/>
  <c r="AP177" i="1"/>
  <c r="AS177" i="1" s="1"/>
  <c r="AP178" i="1"/>
  <c r="AS178" i="1" s="1"/>
  <c r="AP179" i="1"/>
  <c r="AS179" i="1" s="1"/>
  <c r="AP180" i="1"/>
  <c r="AP181" i="1"/>
  <c r="AS181" i="1" s="1"/>
  <c r="AP182" i="1"/>
  <c r="AS182" i="1" s="1"/>
  <c r="AP183" i="1"/>
  <c r="AS183" i="1" s="1"/>
  <c r="AP184" i="1"/>
  <c r="AS184" i="1" s="1"/>
  <c r="AP185" i="1"/>
  <c r="AP186" i="1"/>
  <c r="AP187" i="1"/>
  <c r="AP188" i="1"/>
  <c r="AS188" i="1" s="1"/>
  <c r="AP2" i="1"/>
  <c r="AS2" i="1" s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2" i="1"/>
  <c r="AU200" i="1" l="1"/>
  <c r="AU201" i="1"/>
  <c r="AU199" i="1"/>
  <c r="AQ200" i="1"/>
  <c r="AQ201" i="1"/>
  <c r="AQ199" i="1"/>
  <c r="AU192" i="1"/>
  <c r="AU193" i="1"/>
  <c r="AU197" i="1"/>
  <c r="AU196" i="1"/>
  <c r="AU189" i="1"/>
  <c r="AU185" i="1"/>
  <c r="AU169" i="1"/>
  <c r="AU153" i="1"/>
  <c r="AU137" i="1"/>
  <c r="AU121" i="1"/>
  <c r="AU105" i="1"/>
  <c r="AU89" i="1"/>
  <c r="AU73" i="1"/>
  <c r="AU57" i="1"/>
  <c r="AU41" i="1"/>
  <c r="AU25" i="1"/>
  <c r="AU9" i="1"/>
  <c r="AU195" i="1"/>
  <c r="AU165" i="1"/>
  <c r="AS195" i="1"/>
  <c r="AQ198" i="1"/>
  <c r="AQ195" i="1"/>
  <c r="AU5" i="1"/>
  <c r="AU101" i="1"/>
  <c r="AU173" i="1"/>
  <c r="AU157" i="1"/>
  <c r="AU141" i="1"/>
  <c r="AU125" i="1"/>
  <c r="AU109" i="1"/>
  <c r="AU93" i="1"/>
  <c r="AU77" i="1"/>
  <c r="AU61" i="1"/>
  <c r="AU45" i="1"/>
  <c r="AU29" i="1"/>
  <c r="AU13" i="1"/>
  <c r="AQ193" i="1"/>
  <c r="AU85" i="1"/>
  <c r="AQ196" i="1"/>
  <c r="AU191" i="1"/>
  <c r="AU149" i="1"/>
  <c r="AU187" i="1"/>
  <c r="AU139" i="1"/>
  <c r="AU107" i="1"/>
  <c r="AU91" i="1"/>
  <c r="AU43" i="1"/>
  <c r="AU11" i="1"/>
  <c r="AU181" i="1"/>
  <c r="AU133" i="1"/>
  <c r="AQ194" i="1"/>
  <c r="AQ189" i="1"/>
  <c r="AQ197" i="1"/>
  <c r="AQ190" i="1"/>
  <c r="AQ191" i="1"/>
  <c r="AQ192" i="1"/>
  <c r="AU198" i="1"/>
  <c r="AU194" i="1"/>
  <c r="AU190" i="1"/>
  <c r="AS153" i="1"/>
  <c r="AS89" i="1"/>
  <c r="AS25" i="1"/>
  <c r="AU172" i="1"/>
  <c r="AU156" i="1"/>
  <c r="AU124" i="1"/>
  <c r="AU76" i="1"/>
  <c r="AU60" i="1"/>
  <c r="AU28" i="1"/>
  <c r="AS141" i="1"/>
  <c r="AS77" i="1"/>
  <c r="AS13" i="1"/>
  <c r="AU186" i="1"/>
  <c r="AU170" i="1"/>
  <c r="AU154" i="1"/>
  <c r="AU138" i="1"/>
  <c r="AU122" i="1"/>
  <c r="AU106" i="1"/>
  <c r="AU90" i="1"/>
  <c r="AU74" i="1"/>
  <c r="AU58" i="1"/>
  <c r="AU42" i="1"/>
  <c r="AU26" i="1"/>
  <c r="AU10" i="1"/>
  <c r="AS9" i="1"/>
  <c r="AS61" i="1"/>
  <c r="AS125" i="1"/>
  <c r="AS137" i="1"/>
  <c r="AS186" i="1"/>
  <c r="AS122" i="1"/>
  <c r="AS58" i="1"/>
  <c r="AS73" i="1"/>
  <c r="AU21" i="1"/>
  <c r="AS185" i="1"/>
  <c r="AS121" i="1"/>
  <c r="AS57" i="1"/>
  <c r="AS173" i="1"/>
  <c r="AS109" i="1"/>
  <c r="AS45" i="1"/>
  <c r="AU3" i="1"/>
  <c r="AS105" i="1"/>
  <c r="AS169" i="1"/>
  <c r="AS41" i="1"/>
  <c r="AS157" i="1"/>
  <c r="AS93" i="1"/>
  <c r="AS29" i="1"/>
  <c r="AU184" i="1"/>
  <c r="AU168" i="1"/>
  <c r="AU152" i="1"/>
  <c r="AU136" i="1"/>
  <c r="AU120" i="1"/>
  <c r="AU104" i="1"/>
  <c r="AU88" i="1"/>
  <c r="AU72" i="1"/>
  <c r="AU56" i="1"/>
  <c r="AU40" i="1"/>
  <c r="AU24" i="1"/>
  <c r="AU8" i="1"/>
  <c r="AU119" i="1"/>
  <c r="AU183" i="1"/>
  <c r="AU167" i="1"/>
  <c r="AU151" i="1"/>
  <c r="AU135" i="1"/>
  <c r="AU103" i="1"/>
  <c r="AU87" i="1"/>
  <c r="AU71" i="1"/>
  <c r="AU55" i="1"/>
  <c r="AU39" i="1"/>
  <c r="AU23" i="1"/>
  <c r="AU7" i="1"/>
  <c r="AS187" i="1"/>
  <c r="AS171" i="1"/>
  <c r="AS155" i="1"/>
  <c r="AS139" i="1"/>
  <c r="AS123" i="1"/>
  <c r="AS107" i="1"/>
  <c r="AS91" i="1"/>
  <c r="AS75" i="1"/>
  <c r="AS59" i="1"/>
  <c r="AS43" i="1"/>
  <c r="AS27" i="1"/>
  <c r="AS11" i="1"/>
  <c r="AU182" i="1"/>
  <c r="AU166" i="1"/>
  <c r="AU150" i="1"/>
  <c r="AU134" i="1"/>
  <c r="AU118" i="1"/>
  <c r="AU102" i="1"/>
  <c r="AU86" i="1"/>
  <c r="AU70" i="1"/>
  <c r="AU54" i="1"/>
  <c r="AU38" i="1"/>
  <c r="AU22" i="1"/>
  <c r="AU6" i="1"/>
  <c r="AU53" i="1"/>
  <c r="AU164" i="1"/>
  <c r="AU132" i="1"/>
  <c r="AU84" i="1"/>
  <c r="AU20" i="1"/>
  <c r="AU37" i="1"/>
  <c r="AU180" i="1"/>
  <c r="AU148" i="1"/>
  <c r="AU116" i="1"/>
  <c r="AU100" i="1"/>
  <c r="AU68" i="1"/>
  <c r="AU52" i="1"/>
  <c r="AU36" i="1"/>
  <c r="AU4" i="1"/>
  <c r="AU179" i="1"/>
  <c r="AU163" i="1"/>
  <c r="AU147" i="1"/>
  <c r="AU131" i="1"/>
  <c r="AU115" i="1"/>
  <c r="AU99" i="1"/>
  <c r="AU83" i="1"/>
  <c r="AU67" i="1"/>
  <c r="AU51" i="1"/>
  <c r="AU35" i="1"/>
  <c r="AU19" i="1"/>
  <c r="AU117" i="1"/>
  <c r="AU178" i="1"/>
  <c r="AU130" i="1"/>
  <c r="AU98" i="1"/>
  <c r="AU66" i="1"/>
  <c r="AU34" i="1"/>
  <c r="AU177" i="1"/>
  <c r="AU161" i="1"/>
  <c r="AU145" i="1"/>
  <c r="AU129" i="1"/>
  <c r="AU113" i="1"/>
  <c r="AU97" i="1"/>
  <c r="AU81" i="1"/>
  <c r="AU65" i="1"/>
  <c r="AU49" i="1"/>
  <c r="AU33" i="1"/>
  <c r="AU17" i="1"/>
  <c r="AU69" i="1"/>
  <c r="AU146" i="1"/>
  <c r="AU114" i="1"/>
  <c r="AU82" i="1"/>
  <c r="AU50" i="1"/>
  <c r="AU18" i="1"/>
  <c r="AU176" i="1"/>
  <c r="AU160" i="1"/>
  <c r="AU144" i="1"/>
  <c r="AU128" i="1"/>
  <c r="AU112" i="1"/>
  <c r="AU96" i="1"/>
  <c r="AU80" i="1"/>
  <c r="AU64" i="1"/>
  <c r="AU48" i="1"/>
  <c r="AU32" i="1"/>
  <c r="AU16" i="1"/>
  <c r="AS180" i="1"/>
  <c r="AS164" i="1"/>
  <c r="AS148" i="1"/>
  <c r="AS132" i="1"/>
  <c r="AS100" i="1"/>
  <c r="AS84" i="1"/>
  <c r="AS20" i="1"/>
  <c r="AS4" i="1"/>
  <c r="AU175" i="1"/>
  <c r="AU159" i="1"/>
  <c r="AU143" i="1"/>
  <c r="AU127" i="1"/>
  <c r="AU111" i="1"/>
  <c r="AU95" i="1"/>
  <c r="AU79" i="1"/>
  <c r="AU63" i="1"/>
  <c r="AU47" i="1"/>
  <c r="AU31" i="1"/>
  <c r="AU15" i="1"/>
  <c r="AU162" i="1"/>
  <c r="AS3" i="1"/>
  <c r="AU174" i="1"/>
  <c r="AU158" i="1"/>
  <c r="AU142" i="1"/>
  <c r="AU126" i="1"/>
  <c r="AU110" i="1"/>
  <c r="AU94" i="1"/>
  <c r="AU78" i="1"/>
  <c r="AU62" i="1"/>
  <c r="AU46" i="1"/>
  <c r="AU30" i="1"/>
  <c r="AU14" i="1"/>
  <c r="AU188" i="1"/>
  <c r="AU140" i="1"/>
  <c r="AU108" i="1"/>
  <c r="AU92" i="1"/>
  <c r="AU44" i="1"/>
  <c r="AU12" i="1"/>
  <c r="AU171" i="1"/>
  <c r="AU155" i="1"/>
  <c r="AU123" i="1"/>
  <c r="AU75" i="1"/>
  <c r="AU59" i="1"/>
  <c r="AU27" i="1"/>
  <c r="AV187" i="1"/>
  <c r="AW187" i="1"/>
  <c r="AX187" i="1"/>
  <c r="AY187" i="1"/>
  <c r="AV188" i="1"/>
  <c r="AW188" i="1"/>
  <c r="AX188" i="1"/>
  <c r="AY188" i="1"/>
  <c r="AV156" i="1"/>
  <c r="AW156" i="1"/>
  <c r="AX156" i="1"/>
  <c r="AY156" i="1"/>
  <c r="AV157" i="1"/>
  <c r="AW157" i="1"/>
  <c r="AX157" i="1"/>
  <c r="AY157" i="1"/>
  <c r="AV158" i="1"/>
  <c r="AW158" i="1"/>
  <c r="AX158" i="1"/>
  <c r="AY158" i="1"/>
  <c r="AV159" i="1"/>
  <c r="AW159" i="1"/>
  <c r="AX159" i="1"/>
  <c r="AY159" i="1"/>
  <c r="AV160" i="1"/>
  <c r="AW160" i="1"/>
  <c r="AX160" i="1"/>
  <c r="AY160" i="1"/>
  <c r="AV161" i="1"/>
  <c r="AW161" i="1"/>
  <c r="AX161" i="1"/>
  <c r="AY161" i="1"/>
  <c r="AV162" i="1"/>
  <c r="AW162" i="1"/>
  <c r="AX162" i="1"/>
  <c r="AY162" i="1"/>
  <c r="AV163" i="1"/>
  <c r="AW163" i="1"/>
  <c r="AX163" i="1"/>
  <c r="AY163" i="1"/>
  <c r="AV164" i="1"/>
  <c r="AW164" i="1"/>
  <c r="AX164" i="1"/>
  <c r="AY164" i="1"/>
  <c r="AV165" i="1"/>
  <c r="AW165" i="1"/>
  <c r="AX165" i="1"/>
  <c r="AY165" i="1"/>
  <c r="AV166" i="1"/>
  <c r="AW166" i="1"/>
  <c r="AX166" i="1"/>
  <c r="AY166" i="1"/>
  <c r="AV167" i="1"/>
  <c r="AW167" i="1"/>
  <c r="AX167" i="1"/>
  <c r="AY167" i="1"/>
  <c r="AV168" i="1"/>
  <c r="AW168" i="1"/>
  <c r="AX168" i="1"/>
  <c r="AY168" i="1"/>
  <c r="AV169" i="1"/>
  <c r="AW169" i="1"/>
  <c r="AX169" i="1"/>
  <c r="AY169" i="1"/>
  <c r="AV170" i="1"/>
  <c r="AW170" i="1"/>
  <c r="AX170" i="1"/>
  <c r="AY170" i="1"/>
  <c r="AV171" i="1"/>
  <c r="AW171" i="1"/>
  <c r="AX171" i="1"/>
  <c r="AY171" i="1"/>
  <c r="AV172" i="1"/>
  <c r="AW172" i="1"/>
  <c r="AX172" i="1"/>
  <c r="AY172" i="1"/>
  <c r="AV173" i="1"/>
  <c r="AW173" i="1"/>
  <c r="AX173" i="1"/>
  <c r="AY173" i="1"/>
  <c r="AV174" i="1"/>
  <c r="AW174" i="1"/>
  <c r="AX174" i="1"/>
  <c r="AY174" i="1"/>
  <c r="AV175" i="1"/>
  <c r="AW175" i="1"/>
  <c r="AX175" i="1"/>
  <c r="AY175" i="1"/>
  <c r="AV176" i="1"/>
  <c r="AW176" i="1"/>
  <c r="AX176" i="1"/>
  <c r="AY176" i="1"/>
  <c r="AV177" i="1"/>
  <c r="AW177" i="1"/>
  <c r="AX177" i="1"/>
  <c r="AY177" i="1"/>
  <c r="AV178" i="1"/>
  <c r="AW178" i="1"/>
  <c r="AX178" i="1"/>
  <c r="AY178" i="1"/>
  <c r="AV179" i="1"/>
  <c r="AW179" i="1"/>
  <c r="AX179" i="1"/>
  <c r="AY179" i="1"/>
  <c r="AV180" i="1"/>
  <c r="AW180" i="1"/>
  <c r="AX180" i="1"/>
  <c r="AY180" i="1"/>
  <c r="AV181" i="1"/>
  <c r="AW181" i="1"/>
  <c r="AX181" i="1"/>
  <c r="AY181" i="1"/>
  <c r="AV182" i="1"/>
  <c r="AW182" i="1"/>
  <c r="AX182" i="1"/>
  <c r="AY182" i="1"/>
  <c r="AV183" i="1"/>
  <c r="AW183" i="1"/>
  <c r="AX183" i="1"/>
  <c r="AY183" i="1"/>
  <c r="AV184" i="1"/>
  <c r="AW184" i="1"/>
  <c r="AX184" i="1"/>
  <c r="AY184" i="1"/>
  <c r="AV185" i="1"/>
  <c r="AW185" i="1"/>
  <c r="AX185" i="1"/>
  <c r="AY185" i="1"/>
  <c r="AV186" i="1"/>
  <c r="AW186" i="1"/>
  <c r="AX186" i="1"/>
  <c r="AY186" i="1"/>
  <c r="AT200" i="1" l="1"/>
  <c r="AT201" i="1"/>
  <c r="AT199" i="1"/>
  <c r="AT195" i="1"/>
  <c r="AT196" i="1"/>
  <c r="AT197" i="1"/>
  <c r="AT190" i="1"/>
  <c r="AT189" i="1"/>
  <c r="AT194" i="1"/>
  <c r="AT193" i="1"/>
  <c r="AT192" i="1"/>
  <c r="AT191" i="1"/>
  <c r="AT198" i="1"/>
  <c r="AT185" i="1"/>
  <c r="AT177" i="1"/>
  <c r="AT161" i="1"/>
  <c r="AT178" i="1" l="1"/>
  <c r="AT181" i="1"/>
  <c r="AT162" i="1"/>
  <c r="AT188" i="1"/>
  <c r="AT187" i="1"/>
  <c r="AT166" i="1"/>
  <c r="AT167" i="1"/>
  <c r="AT170" i="1"/>
  <c r="AT163" i="1"/>
  <c r="AT173" i="1"/>
  <c r="AT186" i="1"/>
  <c r="AT174" i="1"/>
  <c r="AT182" i="1"/>
  <c r="AT179" i="1"/>
  <c r="AT184" i="1"/>
  <c r="AT165" i="1"/>
  <c r="AT164" i="1"/>
  <c r="AT183" i="1"/>
  <c r="AT169" i="1"/>
  <c r="AT168" i="1"/>
  <c r="AT172" i="1"/>
  <c r="AT171" i="1"/>
  <c r="AT176" i="1"/>
  <c r="AT180" i="1"/>
  <c r="AT175" i="1"/>
  <c r="AU2" i="1"/>
  <c r="AT2" i="1"/>
  <c r="AQ188" i="1" l="1"/>
  <c r="AQ187" i="1"/>
  <c r="AQ181" i="1"/>
  <c r="AQ174" i="1"/>
  <c r="AQ169" i="1"/>
  <c r="AQ157" i="1"/>
  <c r="AQ185" i="1"/>
  <c r="AQ166" i="1"/>
  <c r="AQ173" i="1"/>
  <c r="AQ182" i="1"/>
  <c r="AQ163" i="1"/>
  <c r="AQ162" i="1"/>
  <c r="AQ158" i="1"/>
  <c r="AQ168" i="1"/>
  <c r="AQ160" i="1"/>
  <c r="AQ161" i="1"/>
  <c r="AQ167" i="1"/>
  <c r="AQ175" i="1"/>
  <c r="AQ186" i="1"/>
  <c r="AQ170" i="1"/>
  <c r="AQ164" i="1"/>
  <c r="AQ184" i="1"/>
  <c r="AQ179" i="1"/>
  <c r="AQ165" i="1"/>
  <c r="AQ176" i="1"/>
  <c r="AQ180" i="1"/>
  <c r="AQ172" i="1"/>
  <c r="AQ183" i="1"/>
  <c r="AQ159" i="1"/>
  <c r="AQ156" i="1"/>
  <c r="AQ171" i="1"/>
  <c r="AQ178" i="1"/>
  <c r="AQ177" i="1"/>
  <c r="AT160" i="1"/>
  <c r="AT157" i="1"/>
  <c r="AT11" i="1"/>
  <c r="AQ97" i="1"/>
  <c r="AQ89" i="1"/>
  <c r="AQ113" i="1"/>
  <c r="AQ120" i="1"/>
  <c r="AQ136" i="1"/>
  <c r="AQ128" i="1"/>
  <c r="AQ144" i="1"/>
  <c r="AQ70" i="1"/>
  <c r="AQ6" i="1"/>
  <c r="AQ134" i="1"/>
  <c r="AQ66" i="1"/>
  <c r="AQ102" i="1"/>
  <c r="AQ112" i="1"/>
  <c r="AQ50" i="1"/>
  <c r="AQ150" i="1"/>
  <c r="AQ88" i="1"/>
  <c r="AQ80" i="1"/>
  <c r="AQ126" i="1"/>
  <c r="AQ64" i="1"/>
  <c r="AQ149" i="1"/>
  <c r="AQ24" i="1"/>
  <c r="AQ94" i="1"/>
  <c r="AQ16" i="1"/>
  <c r="AQ8" i="1"/>
  <c r="AQ33" i="1"/>
  <c r="AQ118" i="1"/>
  <c r="AQ110" i="1"/>
  <c r="AQ32" i="1"/>
  <c r="AQ133" i="1"/>
  <c r="AQ86" i="1"/>
  <c r="AQ148" i="1"/>
  <c r="AQ140" i="1"/>
  <c r="AQ117" i="1"/>
  <c r="AQ78" i="1"/>
  <c r="AQ34" i="1"/>
  <c r="AQ40" i="1"/>
  <c r="AQ54" i="1"/>
  <c r="AQ108" i="1"/>
  <c r="AQ131" i="1"/>
  <c r="AQ100" i="1"/>
  <c r="AQ92" i="1"/>
  <c r="AQ69" i="1"/>
  <c r="AQ14" i="1"/>
  <c r="AQ142" i="1"/>
  <c r="AQ48" i="1"/>
  <c r="AQ15" i="1"/>
  <c r="AQ22" i="1"/>
  <c r="AQ146" i="1"/>
  <c r="AQ115" i="1"/>
  <c r="AQ84" i="1"/>
  <c r="AQ76" i="1"/>
  <c r="AQ53" i="1"/>
  <c r="AQ37" i="1"/>
  <c r="AQ23" i="1"/>
  <c r="AQ96" i="1"/>
  <c r="AQ72" i="1"/>
  <c r="AQ124" i="1"/>
  <c r="AQ147" i="1"/>
  <c r="AQ153" i="1"/>
  <c r="AQ130" i="1"/>
  <c r="AQ99" i="1"/>
  <c r="AQ68" i="1"/>
  <c r="AQ60" i="1"/>
  <c r="AQ21" i="1"/>
  <c r="AQ104" i="1"/>
  <c r="AQ65" i="1"/>
  <c r="AQ101" i="1"/>
  <c r="AQ62" i="1"/>
  <c r="AQ116" i="1"/>
  <c r="AQ145" i="1"/>
  <c r="AQ137" i="1"/>
  <c r="AQ114" i="1"/>
  <c r="AQ52" i="1"/>
  <c r="AQ44" i="1"/>
  <c r="AQ36" i="1"/>
  <c r="AQ28" i="1"/>
  <c r="AQ2" i="1"/>
  <c r="AQ81" i="1"/>
  <c r="AQ49" i="1"/>
  <c r="AQ151" i="1"/>
  <c r="AQ132" i="1"/>
  <c r="AQ7" i="1"/>
  <c r="AQ85" i="1"/>
  <c r="AQ46" i="1"/>
  <c r="AQ30" i="1"/>
  <c r="AQ152" i="1"/>
  <c r="AQ129" i="1"/>
  <c r="AQ121" i="1"/>
  <c r="AQ98" i="1"/>
  <c r="AQ20" i="1"/>
  <c r="AQ12" i="1"/>
  <c r="AQ105" i="1"/>
  <c r="AQ82" i="1"/>
  <c r="AQ4" i="1"/>
  <c r="AQ3" i="1"/>
  <c r="AQ56" i="1"/>
  <c r="AQ154" i="1"/>
  <c r="AQ125" i="1"/>
  <c r="AQ17" i="1"/>
  <c r="AQ38" i="1"/>
  <c r="AQ91" i="1"/>
  <c r="AQ75" i="1"/>
  <c r="AQ43" i="1"/>
  <c r="AQ11" i="1"/>
  <c r="AQ59" i="1"/>
  <c r="AQ155" i="1"/>
  <c r="AQ27" i="1"/>
  <c r="AQ5" i="1"/>
  <c r="AQ10" i="1"/>
  <c r="AQ106" i="1"/>
  <c r="AQ58" i="1"/>
  <c r="AQ143" i="1"/>
  <c r="AQ127" i="1"/>
  <c r="AQ111" i="1"/>
  <c r="AQ95" i="1"/>
  <c r="AQ79" i="1"/>
  <c r="AQ63" i="1"/>
  <c r="AQ47" i="1"/>
  <c r="AQ31" i="1"/>
  <c r="AQ122" i="1"/>
  <c r="AQ42" i="1"/>
  <c r="AQ26" i="1"/>
  <c r="AQ73" i="1"/>
  <c r="AQ57" i="1"/>
  <c r="AQ41" i="1"/>
  <c r="AQ25" i="1"/>
  <c r="AQ9" i="1"/>
  <c r="AQ74" i="1"/>
  <c r="AQ83" i="1"/>
  <c r="AQ67" i="1"/>
  <c r="AQ51" i="1"/>
  <c r="AQ35" i="1"/>
  <c r="AQ19" i="1"/>
  <c r="AQ139" i="1"/>
  <c r="AQ90" i="1"/>
  <c r="AQ109" i="1"/>
  <c r="AQ93" i="1"/>
  <c r="AQ77" i="1"/>
  <c r="AQ61" i="1"/>
  <c r="AQ45" i="1"/>
  <c r="AQ29" i="1"/>
  <c r="AQ13" i="1"/>
  <c r="AQ107" i="1"/>
  <c r="AQ18" i="1"/>
  <c r="AQ138" i="1"/>
  <c r="AQ141" i="1"/>
  <c r="AQ135" i="1"/>
  <c r="AQ119" i="1"/>
  <c r="AQ103" i="1"/>
  <c r="AQ87" i="1"/>
  <c r="AQ71" i="1"/>
  <c r="AQ55" i="1"/>
  <c r="AQ39" i="1"/>
  <c r="AQ123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2" i="1"/>
  <c r="AT159" i="1" l="1"/>
  <c r="AT151" i="1"/>
  <c r="AT158" i="1"/>
  <c r="AT156" i="1"/>
  <c r="AT99" i="1"/>
  <c r="AT83" i="1"/>
  <c r="AT98" i="1"/>
  <c r="AT82" i="1"/>
  <c r="AT66" i="1"/>
  <c r="AT50" i="1"/>
  <c r="AT32" i="1"/>
  <c r="AT143" i="1"/>
  <c r="AT127" i="1"/>
  <c r="AT111" i="1"/>
  <c r="AT95" i="1"/>
  <c r="AT31" i="1"/>
  <c r="AT15" i="1"/>
  <c r="AT36" i="1"/>
  <c r="AT142" i="1"/>
  <c r="AT126" i="1"/>
  <c r="AT110" i="1"/>
  <c r="AT94" i="1"/>
  <c r="AT78" i="1"/>
  <c r="AT30" i="1"/>
  <c r="AT14" i="1"/>
  <c r="AT68" i="1"/>
  <c r="AT49" i="1"/>
  <c r="AT61" i="1"/>
  <c r="AT45" i="1"/>
  <c r="AT29" i="1"/>
  <c r="AT13" i="1"/>
  <c r="AT108" i="1"/>
  <c r="AT44" i="1"/>
  <c r="AT28" i="1"/>
  <c r="AT12" i="1"/>
  <c r="AT100" i="1"/>
  <c r="AT16" i="1"/>
  <c r="AT155" i="1"/>
  <c r="AT139" i="1"/>
  <c r="AT59" i="1"/>
  <c r="AT27" i="1"/>
  <c r="AT154" i="1"/>
  <c r="AT138" i="1"/>
  <c r="AT122" i="1"/>
  <c r="AT106" i="1"/>
  <c r="AT90" i="1"/>
  <c r="AT26" i="1"/>
  <c r="AT10" i="1"/>
  <c r="AT41" i="1"/>
  <c r="AT152" i="1"/>
  <c r="AT72" i="1"/>
  <c r="AT24" i="1"/>
  <c r="AT71" i="1"/>
  <c r="AT55" i="1"/>
  <c r="AT39" i="1"/>
  <c r="AT23" i="1"/>
  <c r="AT25" i="1"/>
  <c r="AT56" i="1"/>
  <c r="AT8" i="1"/>
  <c r="AT150" i="1"/>
  <c r="AT134" i="1"/>
  <c r="AT54" i="1"/>
  <c r="AT38" i="1"/>
  <c r="AT22" i="1"/>
  <c r="AT40" i="1"/>
  <c r="AT149" i="1"/>
  <c r="AT133" i="1"/>
  <c r="AT117" i="1"/>
  <c r="AT101" i="1"/>
  <c r="AT85" i="1"/>
  <c r="AT69" i="1"/>
  <c r="AT53" i="1"/>
  <c r="AT37" i="1"/>
  <c r="AT21" i="1"/>
  <c r="AT3" i="1"/>
  <c r="AT5" i="1"/>
  <c r="AT4" i="1"/>
  <c r="AT118" i="1" l="1"/>
  <c r="AT135" i="1"/>
  <c r="AT74" i="1"/>
  <c r="AT97" i="1"/>
  <c r="AT62" i="1"/>
  <c r="AT79" i="1"/>
  <c r="AT104" i="1"/>
  <c r="AT88" i="1"/>
  <c r="AT120" i="1"/>
  <c r="AT77" i="1"/>
  <c r="AT130" i="1"/>
  <c r="AT136" i="1"/>
  <c r="AT96" i="1"/>
  <c r="AT93" i="1"/>
  <c r="AT80" i="1"/>
  <c r="AT146" i="1"/>
  <c r="AT114" i="1"/>
  <c r="AT9" i="1"/>
  <c r="AT89" i="1"/>
  <c r="AT73" i="1"/>
  <c r="AT17" i="1"/>
  <c r="AT109" i="1"/>
  <c r="AT64" i="1"/>
  <c r="AT144" i="1"/>
  <c r="AT19" i="1"/>
  <c r="AT7" i="1"/>
  <c r="AT57" i="1"/>
  <c r="AT148" i="1"/>
  <c r="AT153" i="1"/>
  <c r="AT132" i="1"/>
  <c r="AT60" i="1"/>
  <c r="AT125" i="1"/>
  <c r="AT112" i="1"/>
  <c r="AT65" i="1"/>
  <c r="AT35" i="1"/>
  <c r="AT6" i="1"/>
  <c r="AT137" i="1"/>
  <c r="AT105" i="1"/>
  <c r="AT76" i="1"/>
  <c r="AT141" i="1"/>
  <c r="AT33" i="1"/>
  <c r="AT145" i="1"/>
  <c r="AT51" i="1"/>
  <c r="AT81" i="1"/>
  <c r="AT121" i="1"/>
  <c r="AT43" i="1"/>
  <c r="AT92" i="1"/>
  <c r="AT113" i="1"/>
  <c r="AT52" i="1"/>
  <c r="AT67" i="1"/>
  <c r="AT75" i="1"/>
  <c r="AT70" i="1"/>
  <c r="AT87" i="1"/>
  <c r="AT91" i="1"/>
  <c r="AT140" i="1"/>
  <c r="AT84" i="1"/>
  <c r="AT115" i="1"/>
  <c r="AT116" i="1"/>
  <c r="AT129" i="1"/>
  <c r="AT124" i="1"/>
  <c r="AT86" i="1"/>
  <c r="AT103" i="1"/>
  <c r="AT42" i="1"/>
  <c r="AT107" i="1"/>
  <c r="AT48" i="1"/>
  <c r="AT47" i="1"/>
  <c r="AT18" i="1"/>
  <c r="AT131" i="1"/>
  <c r="AT20" i="1"/>
  <c r="AT102" i="1"/>
  <c r="AT119" i="1"/>
  <c r="AT58" i="1"/>
  <c r="AT123" i="1"/>
  <c r="AT128" i="1"/>
  <c r="AT46" i="1"/>
  <c r="AT63" i="1"/>
  <c r="AT34" i="1"/>
  <c r="AT147" i="1"/>
</calcChain>
</file>

<file path=xl/sharedStrings.xml><?xml version="1.0" encoding="utf-8"?>
<sst xmlns="http://schemas.openxmlformats.org/spreadsheetml/2006/main" count="1052" uniqueCount="66">
  <si>
    <t>Direction</t>
  </si>
  <si>
    <t>PosTol</t>
  </si>
  <si>
    <t>VelTol</t>
  </si>
  <si>
    <t>isBusy</t>
  </si>
  <si>
    <t>isTargetReached</t>
  </si>
  <si>
    <t>isStrategyStopped</t>
  </si>
  <si>
    <t>mpVmax</t>
  </si>
  <si>
    <t>mpAmax</t>
  </si>
  <si>
    <t>mpDmax</t>
  </si>
  <si>
    <t>Kp</t>
  </si>
  <si>
    <t>Ki</t>
  </si>
  <si>
    <t>Kd</t>
  </si>
  <si>
    <t>Time</t>
  </si>
  <si>
    <t>TimeEndMP</t>
  </si>
  <si>
    <t>TimePExtract</t>
  </si>
  <si>
    <t>TimeVextract</t>
  </si>
  <si>
    <t>TimeCExtract</t>
  </si>
  <si>
    <t>TimeOtherExtract</t>
  </si>
  <si>
    <t>TimeCycle</t>
  </si>
  <si>
    <t>Position</t>
  </si>
  <si>
    <t>UltimateTarget</t>
  </si>
  <si>
    <t>ImmediateTarget</t>
  </si>
  <si>
    <t>minMovePower</t>
  </si>
  <si>
    <t>powerP</t>
  </si>
  <si>
    <t>powerI</t>
  </si>
  <si>
    <t>powerD</t>
  </si>
  <si>
    <t>Power</t>
  </si>
  <si>
    <t>Velocity</t>
  </si>
  <si>
    <t>Vavg</t>
  </si>
  <si>
    <t>A</t>
  </si>
  <si>
    <t>Aavg</t>
  </si>
  <si>
    <t>ApredFun</t>
  </si>
  <si>
    <t>ApredLut</t>
  </si>
  <si>
    <t>C</t>
  </si>
  <si>
    <t>I-Target-Norm</t>
  </si>
  <si>
    <t>Accel</t>
  </si>
  <si>
    <t>Cruising</t>
  </si>
  <si>
    <t>Decel</t>
  </si>
  <si>
    <t>End</t>
  </si>
  <si>
    <t>At Target</t>
  </si>
  <si>
    <t>Relative-Error</t>
  </si>
  <si>
    <t>Error Speed</t>
  </si>
  <si>
    <t>Err Speed Avg</t>
  </si>
  <si>
    <t>Catch-up (100ms)</t>
  </si>
  <si>
    <t>Im-Error</t>
  </si>
  <si>
    <t>Pos-Norm</t>
  </si>
  <si>
    <t>MotorProfileState</t>
  </si>
  <si>
    <t>MotionProfileState</t>
  </si>
  <si>
    <t>FBControllerState</t>
  </si>
  <si>
    <t>timeToUltimateTarget</t>
  </si>
  <si>
    <t>dError</t>
  </si>
  <si>
    <t>PowerStrategyState</t>
  </si>
  <si>
    <t>Profile-Seeking</t>
  </si>
  <si>
    <t>ACCELERATION</t>
  </si>
  <si>
    <t>STARTING</t>
  </si>
  <si>
    <t>FORWARD</t>
  </si>
  <si>
    <t>CRUISING</t>
  </si>
  <si>
    <t>BRAKING</t>
  </si>
  <si>
    <t>Profile-Seeking-Vss</t>
  </si>
  <si>
    <t>Profile-Seeking-Ass</t>
  </si>
  <si>
    <t>DECELERATION</t>
  </si>
  <si>
    <t>END</t>
  </si>
  <si>
    <t>Profile-Seeking-Target</t>
  </si>
  <si>
    <t>REVERSING</t>
  </si>
  <si>
    <t>Profile-EndSamples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</si>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</sst>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9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16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3" fontId="0" fillId="33" borderId="0" xfId="0" applyNumberForma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3" fontId="0" fillId="34" borderId="0" xfId="0" applyNumberFormat="1" applyFill="1" applyAlignment="1">
      <alignment horizontal="center"/>
    </xf>
    <xf numFmtId="9" fontId="0" fillId="34" borderId="0" xfId="0" applyNumberForma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64" fontId="0" fillId="33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8641EB"/>
      <color rgb="FF5814BC"/>
      <color rgb="FFEE6CDB"/>
      <color rgb="FFBA16A3"/>
      <color rgb="FF92028B"/>
      <color rgb="FFFF9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- Kp=0.005</a:t>
            </a:r>
            <a:r>
              <a:rPr lang="en-US" baseline="0"/>
              <a:t> Ki=0.001 Kd=0.18 DerLookback=1 ErrLookback=8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31112037046923E-2"/>
          <c:y val="6.515672782874618E-2"/>
          <c:w val="0.92872715876594125"/>
          <c:h val="0.82107202196055773"/>
        </c:manualLayout>
      </c:layout>
      <c:barChart>
        <c:barDir val="col"/>
        <c:grouping val="clustered"/>
        <c:varyColors val="0"/>
        <c:ser>
          <c:idx val="5"/>
          <c:order val="6"/>
          <c:tx>
            <c:strRef>
              <c:f>Data!$AV$1</c:f>
              <c:strCache>
                <c:ptCount val="1"/>
                <c:pt idx="0">
                  <c:v>Accel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Data!$AV$2:$AV$231</c:f>
              <c:numCache>
                <c:formatCode>General</c:formatCode>
                <c:ptCount val="23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F3-4749-B433-99EFB690A6C4}"/>
            </c:ext>
          </c:extLst>
        </c:ser>
        <c:ser>
          <c:idx val="6"/>
          <c:order val="7"/>
          <c:tx>
            <c:strRef>
              <c:f>Data!$AW$1</c:f>
              <c:strCache>
                <c:ptCount val="1"/>
                <c:pt idx="0">
                  <c:v>Cruising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Data!$AW$2:$AW$231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F3-4749-B433-99EFB690A6C4}"/>
            </c:ext>
          </c:extLst>
        </c:ser>
        <c:ser>
          <c:idx val="7"/>
          <c:order val="8"/>
          <c:tx>
            <c:strRef>
              <c:f>Data!$AX$1</c:f>
              <c:strCache>
                <c:ptCount val="1"/>
                <c:pt idx="0">
                  <c:v>Decel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Data!$AX$2:$AX$231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F3-4749-B433-99EFB690A6C4}"/>
            </c:ext>
          </c:extLst>
        </c:ser>
        <c:ser>
          <c:idx val="8"/>
          <c:order val="9"/>
          <c:tx>
            <c:strRef>
              <c:f>Data!$AY$1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Data!$AY$2:$AY$231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0F3-4749-B433-99EFB690A6C4}"/>
            </c:ext>
          </c:extLst>
        </c:ser>
        <c:ser>
          <c:idx val="9"/>
          <c:order val="10"/>
          <c:tx>
            <c:strRef>
              <c:f>Data!$AZ$1</c:f>
              <c:strCache>
                <c:ptCount val="1"/>
                <c:pt idx="0">
                  <c:v>At Target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Data!$AZ$2:$AZ$231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5</c:v>
                </c:pt>
                <c:pt idx="139">
                  <c:v>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0F3-4749-B433-99EFB690A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6279087"/>
        <c:axId val="976282927"/>
      </c:barChart>
      <c:lineChart>
        <c:grouping val="standard"/>
        <c:varyColors val="0"/>
        <c:ser>
          <c:idx val="1"/>
          <c:order val="0"/>
          <c:tx>
            <c:strRef>
              <c:f>Data!$AD$1</c:f>
              <c:strCache>
                <c:ptCount val="1"/>
                <c:pt idx="0">
                  <c:v>powerP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Data!$AD$2:$AD$231</c:f>
              <c:numCache>
                <c:formatCode>0.000</c:formatCode>
                <c:ptCount val="230"/>
                <c:pt idx="0">
                  <c:v>0</c:v>
                </c:pt>
                <c:pt idx="1">
                  <c:v>0.05</c:v>
                </c:pt>
                <c:pt idx="2">
                  <c:v>0.17</c:v>
                </c:pt>
                <c:pt idx="3">
                  <c:v>0.35499999999999998</c:v>
                </c:pt>
                <c:pt idx="4">
                  <c:v>0.61</c:v>
                </c:pt>
                <c:pt idx="5">
                  <c:v>0.81</c:v>
                </c:pt>
                <c:pt idx="6">
                  <c:v>0.96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0.995</c:v>
                </c:pt>
                <c:pt idx="33">
                  <c:v>1</c:v>
                </c:pt>
                <c:pt idx="34">
                  <c:v>0.96499999999999997</c:v>
                </c:pt>
                <c:pt idx="35">
                  <c:v>0.96</c:v>
                </c:pt>
                <c:pt idx="36">
                  <c:v>0.94499999999999995</c:v>
                </c:pt>
                <c:pt idx="37">
                  <c:v>0.94499999999999995</c:v>
                </c:pt>
                <c:pt idx="38">
                  <c:v>0.94499999999999995</c:v>
                </c:pt>
                <c:pt idx="39">
                  <c:v>0.94</c:v>
                </c:pt>
                <c:pt idx="40">
                  <c:v>0.96499999999999997</c:v>
                </c:pt>
                <c:pt idx="41">
                  <c:v>0.94</c:v>
                </c:pt>
                <c:pt idx="42">
                  <c:v>0.93</c:v>
                </c:pt>
                <c:pt idx="43">
                  <c:v>0.93</c:v>
                </c:pt>
                <c:pt idx="44">
                  <c:v>0.93</c:v>
                </c:pt>
                <c:pt idx="45">
                  <c:v>0.93500000000000005</c:v>
                </c:pt>
                <c:pt idx="46">
                  <c:v>0.92500000000000004</c:v>
                </c:pt>
                <c:pt idx="47">
                  <c:v>0.93</c:v>
                </c:pt>
                <c:pt idx="48">
                  <c:v>0.93500000000000005</c:v>
                </c:pt>
                <c:pt idx="49">
                  <c:v>0.93500000000000005</c:v>
                </c:pt>
                <c:pt idx="50">
                  <c:v>0.94</c:v>
                </c:pt>
                <c:pt idx="51">
                  <c:v>0.95</c:v>
                </c:pt>
                <c:pt idx="52">
                  <c:v>0.95499999999999996</c:v>
                </c:pt>
                <c:pt idx="53">
                  <c:v>0.93</c:v>
                </c:pt>
                <c:pt idx="54">
                  <c:v>0.93</c:v>
                </c:pt>
                <c:pt idx="55">
                  <c:v>0.92500000000000004</c:v>
                </c:pt>
                <c:pt idx="56">
                  <c:v>0.92500000000000004</c:v>
                </c:pt>
                <c:pt idx="57">
                  <c:v>0.93500000000000005</c:v>
                </c:pt>
                <c:pt idx="58">
                  <c:v>0.93</c:v>
                </c:pt>
                <c:pt idx="59">
                  <c:v>0.93500000000000005</c:v>
                </c:pt>
                <c:pt idx="60">
                  <c:v>0.93</c:v>
                </c:pt>
                <c:pt idx="61">
                  <c:v>0.94</c:v>
                </c:pt>
                <c:pt idx="62">
                  <c:v>0.94499999999999995</c:v>
                </c:pt>
                <c:pt idx="63">
                  <c:v>0.94</c:v>
                </c:pt>
                <c:pt idx="64">
                  <c:v>0.95</c:v>
                </c:pt>
                <c:pt idx="65">
                  <c:v>0.99</c:v>
                </c:pt>
                <c:pt idx="66">
                  <c:v>0.97</c:v>
                </c:pt>
                <c:pt idx="67">
                  <c:v>0.96</c:v>
                </c:pt>
                <c:pt idx="68">
                  <c:v>0.95499999999999996</c:v>
                </c:pt>
                <c:pt idx="69">
                  <c:v>0.95</c:v>
                </c:pt>
                <c:pt idx="70">
                  <c:v>0.95</c:v>
                </c:pt>
                <c:pt idx="71">
                  <c:v>0.97</c:v>
                </c:pt>
                <c:pt idx="72">
                  <c:v>0.94</c:v>
                </c:pt>
                <c:pt idx="73">
                  <c:v>0.94</c:v>
                </c:pt>
                <c:pt idx="74">
                  <c:v>0.94499999999999995</c:v>
                </c:pt>
                <c:pt idx="75">
                  <c:v>0.93500000000000005</c:v>
                </c:pt>
                <c:pt idx="76">
                  <c:v>0.92500000000000004</c:v>
                </c:pt>
                <c:pt idx="77">
                  <c:v>0.93</c:v>
                </c:pt>
                <c:pt idx="78">
                  <c:v>0.93</c:v>
                </c:pt>
                <c:pt idx="79">
                  <c:v>0.93500000000000005</c:v>
                </c:pt>
                <c:pt idx="80">
                  <c:v>0.93</c:v>
                </c:pt>
                <c:pt idx="81">
                  <c:v>0.97499999999999998</c:v>
                </c:pt>
                <c:pt idx="82">
                  <c:v>0.94499999999999995</c:v>
                </c:pt>
                <c:pt idx="83">
                  <c:v>0.93500000000000005</c:v>
                </c:pt>
                <c:pt idx="84">
                  <c:v>0.94</c:v>
                </c:pt>
                <c:pt idx="85">
                  <c:v>0.95499999999999996</c:v>
                </c:pt>
                <c:pt idx="86">
                  <c:v>0.94</c:v>
                </c:pt>
                <c:pt idx="87">
                  <c:v>0.93</c:v>
                </c:pt>
                <c:pt idx="88">
                  <c:v>0.93500000000000005</c:v>
                </c:pt>
                <c:pt idx="89">
                  <c:v>0.93500000000000005</c:v>
                </c:pt>
                <c:pt idx="90">
                  <c:v>0.94</c:v>
                </c:pt>
                <c:pt idx="91">
                  <c:v>0.93500000000000005</c:v>
                </c:pt>
                <c:pt idx="92">
                  <c:v>0.94</c:v>
                </c:pt>
                <c:pt idx="93">
                  <c:v>0.94</c:v>
                </c:pt>
                <c:pt idx="94">
                  <c:v>0.94</c:v>
                </c:pt>
                <c:pt idx="95">
                  <c:v>0.95499999999999996</c:v>
                </c:pt>
                <c:pt idx="96">
                  <c:v>0.95499999999999996</c:v>
                </c:pt>
                <c:pt idx="97">
                  <c:v>0.93</c:v>
                </c:pt>
                <c:pt idx="98">
                  <c:v>0.94499999999999995</c:v>
                </c:pt>
                <c:pt idx="99">
                  <c:v>0.93500000000000005</c:v>
                </c:pt>
                <c:pt idx="100">
                  <c:v>0.93500000000000005</c:v>
                </c:pt>
                <c:pt idx="101">
                  <c:v>0.91500000000000004</c:v>
                </c:pt>
                <c:pt idx="102">
                  <c:v>0.92500000000000004</c:v>
                </c:pt>
                <c:pt idx="103">
                  <c:v>0.92</c:v>
                </c:pt>
                <c:pt idx="104">
                  <c:v>0.93</c:v>
                </c:pt>
                <c:pt idx="105">
                  <c:v>0.92500000000000004</c:v>
                </c:pt>
                <c:pt idx="106">
                  <c:v>0.95499999999999996</c:v>
                </c:pt>
                <c:pt idx="107">
                  <c:v>0.93500000000000005</c:v>
                </c:pt>
                <c:pt idx="108">
                  <c:v>0.95</c:v>
                </c:pt>
                <c:pt idx="109">
                  <c:v>0.94499999999999995</c:v>
                </c:pt>
                <c:pt idx="110">
                  <c:v>0.94499999999999995</c:v>
                </c:pt>
                <c:pt idx="111">
                  <c:v>0.95</c:v>
                </c:pt>
                <c:pt idx="112">
                  <c:v>0.94499999999999995</c:v>
                </c:pt>
                <c:pt idx="113">
                  <c:v>0.94499999999999995</c:v>
                </c:pt>
                <c:pt idx="114">
                  <c:v>0.94499999999999995</c:v>
                </c:pt>
                <c:pt idx="115">
                  <c:v>0.94499999999999995</c:v>
                </c:pt>
                <c:pt idx="116">
                  <c:v>0.95</c:v>
                </c:pt>
                <c:pt idx="117">
                  <c:v>0.96499999999999997</c:v>
                </c:pt>
                <c:pt idx="118">
                  <c:v>0.92500000000000004</c:v>
                </c:pt>
                <c:pt idx="119">
                  <c:v>0.91500000000000004</c:v>
                </c:pt>
                <c:pt idx="120">
                  <c:v>0.92</c:v>
                </c:pt>
                <c:pt idx="121">
                  <c:v>0.92</c:v>
                </c:pt>
                <c:pt idx="122">
                  <c:v>0.93</c:v>
                </c:pt>
                <c:pt idx="123">
                  <c:v>0.94</c:v>
                </c:pt>
                <c:pt idx="124">
                  <c:v>0.91500000000000004</c:v>
                </c:pt>
                <c:pt idx="125">
                  <c:v>0.91</c:v>
                </c:pt>
                <c:pt idx="126">
                  <c:v>0.90500000000000003</c:v>
                </c:pt>
                <c:pt idx="127">
                  <c:v>0.85</c:v>
                </c:pt>
                <c:pt idx="128">
                  <c:v>0.745</c:v>
                </c:pt>
                <c:pt idx="129">
                  <c:v>0.61</c:v>
                </c:pt>
                <c:pt idx="130">
                  <c:v>0.435</c:v>
                </c:pt>
                <c:pt idx="131">
                  <c:v>0.27</c:v>
                </c:pt>
                <c:pt idx="132">
                  <c:v>0.16</c:v>
                </c:pt>
                <c:pt idx="133">
                  <c:v>0.115</c:v>
                </c:pt>
                <c:pt idx="134">
                  <c:v>0.11</c:v>
                </c:pt>
                <c:pt idx="135">
                  <c:v>0.11</c:v>
                </c:pt>
                <c:pt idx="136">
                  <c:v>9.5000000000000001E-2</c:v>
                </c:pt>
                <c:pt idx="137">
                  <c:v>6.5000000000000002E-2</c:v>
                </c:pt>
                <c:pt idx="138">
                  <c:v>3.5000000000000003E-2</c:v>
                </c:pt>
                <c:pt idx="139">
                  <c:v>5.0000000000000001E-3</c:v>
                </c:pt>
                <c:pt idx="140">
                  <c:v>-0.02</c:v>
                </c:pt>
                <c:pt idx="141">
                  <c:v>-3.5000000000000003E-2</c:v>
                </c:pt>
                <c:pt idx="142">
                  <c:v>-5.5E-2</c:v>
                </c:pt>
                <c:pt idx="143">
                  <c:v>-7.0000000000000007E-2</c:v>
                </c:pt>
                <c:pt idx="144">
                  <c:v>-0.08</c:v>
                </c:pt>
                <c:pt idx="145">
                  <c:v>-8.5000000000000006E-2</c:v>
                </c:pt>
                <c:pt idx="146">
                  <c:v>-0.08</c:v>
                </c:pt>
                <c:pt idx="147">
                  <c:v>-7.0000000000000007E-2</c:v>
                </c:pt>
                <c:pt idx="148">
                  <c:v>-5.5E-2</c:v>
                </c:pt>
                <c:pt idx="149">
                  <c:v>-3.5000000000000003E-2</c:v>
                </c:pt>
                <c:pt idx="150">
                  <c:v>-1.4999999999999999E-2</c:v>
                </c:pt>
                <c:pt idx="151">
                  <c:v>0</c:v>
                </c:pt>
                <c:pt idx="152">
                  <c:v>1.4999999999999999E-2</c:v>
                </c:pt>
                <c:pt idx="153">
                  <c:v>0.03</c:v>
                </c:pt>
                <c:pt idx="154">
                  <c:v>0.04</c:v>
                </c:pt>
                <c:pt idx="155">
                  <c:v>0.05</c:v>
                </c:pt>
                <c:pt idx="156">
                  <c:v>0.06</c:v>
                </c:pt>
                <c:pt idx="157">
                  <c:v>0.06</c:v>
                </c:pt>
                <c:pt idx="158">
                  <c:v>5.5E-2</c:v>
                </c:pt>
                <c:pt idx="159">
                  <c:v>4.4999999999999998E-2</c:v>
                </c:pt>
                <c:pt idx="160">
                  <c:v>0.03</c:v>
                </c:pt>
                <c:pt idx="161">
                  <c:v>1.4999999999999999E-2</c:v>
                </c:pt>
                <c:pt idx="162">
                  <c:v>0</c:v>
                </c:pt>
                <c:pt idx="163">
                  <c:v>-0.01</c:v>
                </c:pt>
                <c:pt idx="164">
                  <c:v>-0.02</c:v>
                </c:pt>
                <c:pt idx="165">
                  <c:v>-0.03</c:v>
                </c:pt>
                <c:pt idx="166">
                  <c:v>-3.5000000000000003E-2</c:v>
                </c:pt>
                <c:pt idx="167">
                  <c:v>-4.4999999999999998E-2</c:v>
                </c:pt>
                <c:pt idx="168">
                  <c:v>-0.05</c:v>
                </c:pt>
                <c:pt idx="169">
                  <c:v>-0.05</c:v>
                </c:pt>
                <c:pt idx="170">
                  <c:v>-4.4999999999999998E-2</c:v>
                </c:pt>
                <c:pt idx="171">
                  <c:v>-3.5000000000000003E-2</c:v>
                </c:pt>
                <c:pt idx="172">
                  <c:v>-0.02</c:v>
                </c:pt>
                <c:pt idx="173">
                  <c:v>-0.01</c:v>
                </c:pt>
                <c:pt idx="174">
                  <c:v>5.0000000000000001E-3</c:v>
                </c:pt>
                <c:pt idx="175">
                  <c:v>0.02</c:v>
                </c:pt>
                <c:pt idx="176">
                  <c:v>0.03</c:v>
                </c:pt>
                <c:pt idx="177">
                  <c:v>0.04</c:v>
                </c:pt>
                <c:pt idx="178">
                  <c:v>4.4999999999999998E-2</c:v>
                </c:pt>
                <c:pt idx="179">
                  <c:v>4.4999999999999998E-2</c:v>
                </c:pt>
                <c:pt idx="180">
                  <c:v>0.04</c:v>
                </c:pt>
                <c:pt idx="181">
                  <c:v>0.03</c:v>
                </c:pt>
                <c:pt idx="182">
                  <c:v>0.02</c:v>
                </c:pt>
                <c:pt idx="183">
                  <c:v>0.01</c:v>
                </c:pt>
                <c:pt idx="184">
                  <c:v>5.0000000000000001E-3</c:v>
                </c:pt>
                <c:pt idx="185">
                  <c:v>0</c:v>
                </c:pt>
                <c:pt idx="186">
                  <c:v>-5.0000000000000001E-3</c:v>
                </c:pt>
                <c:pt idx="187">
                  <c:v>-5.0000000000000001E-3</c:v>
                </c:pt>
                <c:pt idx="188">
                  <c:v>-5.0000000000000001E-3</c:v>
                </c:pt>
                <c:pt idx="189">
                  <c:v>-0.01</c:v>
                </c:pt>
                <c:pt idx="190">
                  <c:v>-0.01</c:v>
                </c:pt>
                <c:pt idx="191">
                  <c:v>-0.01</c:v>
                </c:pt>
                <c:pt idx="192">
                  <c:v>-0.01</c:v>
                </c:pt>
                <c:pt idx="193">
                  <c:v>-0.01</c:v>
                </c:pt>
                <c:pt idx="194">
                  <c:v>-0.01</c:v>
                </c:pt>
                <c:pt idx="195">
                  <c:v>-0.01</c:v>
                </c:pt>
                <c:pt idx="196">
                  <c:v>-0.01</c:v>
                </c:pt>
                <c:pt idx="197">
                  <c:v>-0.01</c:v>
                </c:pt>
                <c:pt idx="198">
                  <c:v>-0.01</c:v>
                </c:pt>
                <c:pt idx="199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3-4749-B433-99EFB690A6C4}"/>
            </c:ext>
          </c:extLst>
        </c:ser>
        <c:ser>
          <c:idx val="13"/>
          <c:order val="1"/>
          <c:tx>
            <c:strRef>
              <c:f>Data!$AE$1</c:f>
              <c:strCache>
                <c:ptCount val="1"/>
                <c:pt idx="0">
                  <c:v>powerI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Data!$AE$2:$AE$231</c:f>
              <c:numCache>
                <c:formatCode>0.000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0.08</c:v>
                </c:pt>
                <c:pt idx="13">
                  <c:v>0</c:v>
                </c:pt>
                <c:pt idx="14">
                  <c:v>0.08</c:v>
                </c:pt>
                <c:pt idx="15">
                  <c:v>0</c:v>
                </c:pt>
                <c:pt idx="16">
                  <c:v>0.08</c:v>
                </c:pt>
                <c:pt idx="17">
                  <c:v>0</c:v>
                </c:pt>
                <c:pt idx="18">
                  <c:v>0</c:v>
                </c:pt>
                <c:pt idx="19">
                  <c:v>0.08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0.08</c:v>
                </c:pt>
                <c:pt idx="38">
                  <c:v>0.08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0.08</c:v>
                </c:pt>
                <c:pt idx="44">
                  <c:v>0.08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0.08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0.08</c:v>
                </c:pt>
                <c:pt idx="55">
                  <c:v>0</c:v>
                </c:pt>
                <c:pt idx="56">
                  <c:v>0.08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0.08</c:v>
                </c:pt>
                <c:pt idx="71">
                  <c:v>0</c:v>
                </c:pt>
                <c:pt idx="72">
                  <c:v>0</c:v>
                </c:pt>
                <c:pt idx="73">
                  <c:v>0.08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0.08</c:v>
                </c:pt>
                <c:pt idx="94">
                  <c:v>0.08</c:v>
                </c:pt>
                <c:pt idx="95">
                  <c:v>0</c:v>
                </c:pt>
                <c:pt idx="96">
                  <c:v>0.08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0.08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0.08</c:v>
                </c:pt>
                <c:pt idx="111">
                  <c:v>0</c:v>
                </c:pt>
                <c:pt idx="112">
                  <c:v>0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0.08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0.08</c:v>
                </c:pt>
                <c:pt idx="127">
                  <c:v>0.08</c:v>
                </c:pt>
                <c:pt idx="128">
                  <c:v>0.08</c:v>
                </c:pt>
                <c:pt idx="129">
                  <c:v>0.08</c:v>
                </c:pt>
                <c:pt idx="130">
                  <c:v>0.08</c:v>
                </c:pt>
                <c:pt idx="131">
                  <c:v>0.08</c:v>
                </c:pt>
                <c:pt idx="132">
                  <c:v>0.08</c:v>
                </c:pt>
                <c:pt idx="133">
                  <c:v>0.08</c:v>
                </c:pt>
                <c:pt idx="134">
                  <c:v>0.08</c:v>
                </c:pt>
                <c:pt idx="135">
                  <c:v>0.08</c:v>
                </c:pt>
                <c:pt idx="136">
                  <c:v>0.08</c:v>
                </c:pt>
                <c:pt idx="137">
                  <c:v>0.08</c:v>
                </c:pt>
                <c:pt idx="138">
                  <c:v>7.6999999999999999E-2</c:v>
                </c:pt>
                <c:pt idx="139">
                  <c:v>6.8000000000000005E-2</c:v>
                </c:pt>
                <c:pt idx="140">
                  <c:v>5.3999999999999999E-2</c:v>
                </c:pt>
                <c:pt idx="141">
                  <c:v>3.6999999999999998E-2</c:v>
                </c:pt>
                <c:pt idx="142">
                  <c:v>1.7000000000000001E-2</c:v>
                </c:pt>
                <c:pt idx="143">
                  <c:v>-3.0000000000000001E-3</c:v>
                </c:pt>
                <c:pt idx="144">
                  <c:v>-2.3E-2</c:v>
                </c:pt>
                <c:pt idx="145">
                  <c:v>-4.2999999999999997E-2</c:v>
                </c:pt>
                <c:pt idx="146">
                  <c:v>-0.06</c:v>
                </c:pt>
                <c:pt idx="147">
                  <c:v>-7.0999999999999994E-2</c:v>
                </c:pt>
                <c:pt idx="148">
                  <c:v>-7.6999999999999999E-2</c:v>
                </c:pt>
                <c:pt idx="149">
                  <c:v>-7.6999999999999999E-2</c:v>
                </c:pt>
                <c:pt idx="150">
                  <c:v>-7.0000000000000007E-2</c:v>
                </c:pt>
                <c:pt idx="151">
                  <c:v>-0.06</c:v>
                </c:pt>
                <c:pt idx="152">
                  <c:v>-4.7E-2</c:v>
                </c:pt>
                <c:pt idx="153">
                  <c:v>-3.1E-2</c:v>
                </c:pt>
                <c:pt idx="154">
                  <c:v>-1.2999999999999999E-2</c:v>
                </c:pt>
                <c:pt idx="155">
                  <c:v>7.0000000000000001E-3</c:v>
                </c:pt>
                <c:pt idx="156">
                  <c:v>2.7E-2</c:v>
                </c:pt>
                <c:pt idx="157">
                  <c:v>4.3999999999999997E-2</c:v>
                </c:pt>
                <c:pt idx="158">
                  <c:v>5.7000000000000002E-2</c:v>
                </c:pt>
                <c:pt idx="159">
                  <c:v>6.6000000000000003E-2</c:v>
                </c:pt>
                <c:pt idx="160">
                  <c:v>6.9000000000000006E-2</c:v>
                </c:pt>
                <c:pt idx="161">
                  <c:v>6.6000000000000003E-2</c:v>
                </c:pt>
                <c:pt idx="162">
                  <c:v>5.8000000000000003E-2</c:v>
                </c:pt>
                <c:pt idx="163">
                  <c:v>4.5999999999999999E-2</c:v>
                </c:pt>
                <c:pt idx="164">
                  <c:v>3.2000000000000001E-2</c:v>
                </c:pt>
                <c:pt idx="165">
                  <c:v>1.6E-2</c:v>
                </c:pt>
                <c:pt idx="166">
                  <c:v>-1E-3</c:v>
                </c:pt>
                <c:pt idx="167">
                  <c:v>-1.9E-2</c:v>
                </c:pt>
                <c:pt idx="168">
                  <c:v>-3.5000000000000003E-2</c:v>
                </c:pt>
                <c:pt idx="169">
                  <c:v>-4.8000000000000001E-2</c:v>
                </c:pt>
                <c:pt idx="170">
                  <c:v>-5.7000000000000002E-2</c:v>
                </c:pt>
                <c:pt idx="171">
                  <c:v>-6.2E-2</c:v>
                </c:pt>
                <c:pt idx="172">
                  <c:v>-6.2E-2</c:v>
                </c:pt>
                <c:pt idx="173">
                  <c:v>-5.8000000000000003E-2</c:v>
                </c:pt>
                <c:pt idx="174">
                  <c:v>-0.05</c:v>
                </c:pt>
                <c:pt idx="175">
                  <c:v>-3.6999999999999998E-2</c:v>
                </c:pt>
                <c:pt idx="176">
                  <c:v>-2.1000000000000001E-2</c:v>
                </c:pt>
                <c:pt idx="177">
                  <c:v>-3.0000000000000001E-3</c:v>
                </c:pt>
                <c:pt idx="178">
                  <c:v>1.4999999999999999E-2</c:v>
                </c:pt>
                <c:pt idx="179">
                  <c:v>3.1E-2</c:v>
                </c:pt>
                <c:pt idx="180">
                  <c:v>4.2999999999999997E-2</c:v>
                </c:pt>
                <c:pt idx="181">
                  <c:v>5.0999999999999997E-2</c:v>
                </c:pt>
                <c:pt idx="182">
                  <c:v>5.3999999999999999E-2</c:v>
                </c:pt>
                <c:pt idx="183">
                  <c:v>5.1999999999999998E-2</c:v>
                </c:pt>
                <c:pt idx="184">
                  <c:v>4.7E-2</c:v>
                </c:pt>
                <c:pt idx="185">
                  <c:v>3.9E-2</c:v>
                </c:pt>
                <c:pt idx="186">
                  <c:v>2.9000000000000001E-2</c:v>
                </c:pt>
                <c:pt idx="187">
                  <c:v>1.9E-2</c:v>
                </c:pt>
                <c:pt idx="188">
                  <c:v>0.01</c:v>
                </c:pt>
                <c:pt idx="189">
                  <c:v>2E-3</c:v>
                </c:pt>
                <c:pt idx="190">
                  <c:v>-4.0000000000000001E-3</c:v>
                </c:pt>
                <c:pt idx="191">
                  <c:v>-4.0000000000000001E-3</c:v>
                </c:pt>
                <c:pt idx="192">
                  <c:v>-4.0000000000000001E-3</c:v>
                </c:pt>
                <c:pt idx="193">
                  <c:v>-4.0000000000000001E-3</c:v>
                </c:pt>
                <c:pt idx="194">
                  <c:v>-4.0000000000000001E-3</c:v>
                </c:pt>
                <c:pt idx="195">
                  <c:v>-4.0000000000000001E-3</c:v>
                </c:pt>
                <c:pt idx="196">
                  <c:v>-4.0000000000000001E-3</c:v>
                </c:pt>
                <c:pt idx="197">
                  <c:v>-4.0000000000000001E-3</c:v>
                </c:pt>
                <c:pt idx="198">
                  <c:v>-4.0000000000000001E-3</c:v>
                </c:pt>
                <c:pt idx="199">
                  <c:v>-4.0000000000000001E-3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02-4B8C-B2FA-E6C9DFB50461}"/>
            </c:ext>
          </c:extLst>
        </c:ser>
        <c:ser>
          <c:idx val="2"/>
          <c:order val="2"/>
          <c:tx>
            <c:strRef>
              <c:f>Data!$AF$1</c:f>
              <c:strCache>
                <c:ptCount val="1"/>
                <c:pt idx="0">
                  <c:v>powerD</c:v>
                </c:pt>
              </c:strCache>
            </c:strRef>
          </c:tx>
          <c:spPr>
            <a:ln w="38100" cap="rnd">
              <a:solidFill>
                <a:srgbClr val="8641EB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Data!$AF$2:$AF$231</c:f>
              <c:numCache>
                <c:formatCode>General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-1.3939999999999999E-2</c:v>
                </c:pt>
                <c:pt idx="127">
                  <c:v>-0.15803</c:v>
                </c:pt>
                <c:pt idx="128">
                  <c:v>-0.29630000000000001</c:v>
                </c:pt>
                <c:pt idx="129">
                  <c:v>-0.38988</c:v>
                </c:pt>
                <c:pt idx="130">
                  <c:v>-0.52798</c:v>
                </c:pt>
                <c:pt idx="131">
                  <c:v>-0.50944999999999996</c:v>
                </c:pt>
                <c:pt idx="132">
                  <c:v>-0.34014</c:v>
                </c:pt>
                <c:pt idx="133">
                  <c:v>-0.13667000000000001</c:v>
                </c:pt>
                <c:pt idx="134">
                  <c:v>-1.553E-2</c:v>
                </c:pt>
                <c:pt idx="135">
                  <c:v>0</c:v>
                </c:pt>
                <c:pt idx="136">
                  <c:v>-3.8199999999999998E-2</c:v>
                </c:pt>
                <c:pt idx="137">
                  <c:v>-7.9229999999999995E-2</c:v>
                </c:pt>
                <c:pt idx="138">
                  <c:v>-8.2610000000000003E-2</c:v>
                </c:pt>
                <c:pt idx="139">
                  <c:v>-7.9399999999999998E-2</c:v>
                </c:pt>
                <c:pt idx="140">
                  <c:v>6.8339999999999998E-2</c:v>
                </c:pt>
                <c:pt idx="141">
                  <c:v>4.1860000000000001E-2</c:v>
                </c:pt>
                <c:pt idx="142">
                  <c:v>4.6890000000000001E-2</c:v>
                </c:pt>
                <c:pt idx="143">
                  <c:v>4.0710000000000003E-2</c:v>
                </c:pt>
                <c:pt idx="144">
                  <c:v>2.359E-2</c:v>
                </c:pt>
                <c:pt idx="145">
                  <c:v>1.4080000000000001E-2</c:v>
                </c:pt>
                <c:pt idx="146">
                  <c:v>1.372E-2</c:v>
                </c:pt>
                <c:pt idx="147">
                  <c:v>2.5250000000000002E-2</c:v>
                </c:pt>
                <c:pt idx="148">
                  <c:v>3.8159999999999999E-2</c:v>
                </c:pt>
                <c:pt idx="149">
                  <c:v>5.4940000000000003E-2</c:v>
                </c:pt>
                <c:pt idx="150">
                  <c:v>5.0619999999999998E-2</c:v>
                </c:pt>
                <c:pt idx="151">
                  <c:v>3.9539999999999999E-2</c:v>
                </c:pt>
                <c:pt idx="152">
                  <c:v>-3.8530000000000002E-2</c:v>
                </c:pt>
                <c:pt idx="153">
                  <c:v>-4.0840000000000001E-2</c:v>
                </c:pt>
                <c:pt idx="154">
                  <c:v>-2.4760000000000001E-2</c:v>
                </c:pt>
                <c:pt idx="155">
                  <c:v>-2.4170000000000001E-2</c:v>
                </c:pt>
                <c:pt idx="156">
                  <c:v>-2.6440000000000002E-2</c:v>
                </c:pt>
                <c:pt idx="157">
                  <c:v>0</c:v>
                </c:pt>
                <c:pt idx="158">
                  <c:v>-1.337E-2</c:v>
                </c:pt>
                <c:pt idx="159">
                  <c:v>-2.6599999999999999E-2</c:v>
                </c:pt>
                <c:pt idx="160">
                  <c:v>-3.9559999999999998E-2</c:v>
                </c:pt>
                <c:pt idx="161">
                  <c:v>-3.9649999999999998E-2</c:v>
                </c:pt>
                <c:pt idx="162">
                  <c:v>-3.8739999999999997E-2</c:v>
                </c:pt>
                <c:pt idx="163">
                  <c:v>2.7009999999999999E-2</c:v>
                </c:pt>
                <c:pt idx="164">
                  <c:v>2.7359999999999999E-2</c:v>
                </c:pt>
                <c:pt idx="165">
                  <c:v>2.7220000000000001E-2</c:v>
                </c:pt>
                <c:pt idx="166">
                  <c:v>1.359E-2</c:v>
                </c:pt>
                <c:pt idx="167">
                  <c:v>2.75E-2</c:v>
                </c:pt>
                <c:pt idx="168">
                  <c:v>1.3690000000000001E-2</c:v>
                </c:pt>
                <c:pt idx="169">
                  <c:v>0</c:v>
                </c:pt>
                <c:pt idx="170">
                  <c:v>1.323E-2</c:v>
                </c:pt>
                <c:pt idx="171">
                  <c:v>2.6200000000000001E-2</c:v>
                </c:pt>
                <c:pt idx="172">
                  <c:v>4.0689999999999997E-2</c:v>
                </c:pt>
                <c:pt idx="173">
                  <c:v>2.3429999999999999E-2</c:v>
                </c:pt>
                <c:pt idx="174">
                  <c:v>-3.7229999999999999E-2</c:v>
                </c:pt>
                <c:pt idx="175">
                  <c:v>-3.8440000000000002E-2</c:v>
                </c:pt>
                <c:pt idx="176">
                  <c:v>-2.6859999999999998E-2</c:v>
                </c:pt>
                <c:pt idx="177">
                  <c:v>-2.5989999999999999E-2</c:v>
                </c:pt>
                <c:pt idx="178">
                  <c:v>-1.328E-2</c:v>
                </c:pt>
                <c:pt idx="179">
                  <c:v>0</c:v>
                </c:pt>
                <c:pt idx="180">
                  <c:v>-1.3310000000000001E-2</c:v>
                </c:pt>
                <c:pt idx="181">
                  <c:v>-3.1859999999999999E-2</c:v>
                </c:pt>
                <c:pt idx="182">
                  <c:v>-3.1320000000000001E-2</c:v>
                </c:pt>
                <c:pt idx="183">
                  <c:v>-3.0249999999999999E-2</c:v>
                </c:pt>
                <c:pt idx="184">
                  <c:v>-1.47E-2</c:v>
                </c:pt>
                <c:pt idx="185">
                  <c:v>-1.4670000000000001E-2</c:v>
                </c:pt>
                <c:pt idx="186">
                  <c:v>1.472E-2</c:v>
                </c:pt>
                <c:pt idx="187">
                  <c:v>0</c:v>
                </c:pt>
                <c:pt idx="188">
                  <c:v>0</c:v>
                </c:pt>
                <c:pt idx="189">
                  <c:v>1.091E-2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3-4749-B433-99EFB690A6C4}"/>
            </c:ext>
          </c:extLst>
        </c:ser>
        <c:ser>
          <c:idx val="14"/>
          <c:order val="3"/>
          <c:tx>
            <c:strRef>
              <c:f>Data!$AG$1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Data!$AG$2:$AG$231</c:f>
              <c:numCache>
                <c:formatCode>General</c:formatCode>
                <c:ptCount val="230"/>
                <c:pt idx="0">
                  <c:v>0</c:v>
                </c:pt>
                <c:pt idx="1">
                  <c:v>0.05</c:v>
                </c:pt>
                <c:pt idx="2">
                  <c:v>0.17</c:v>
                </c:pt>
                <c:pt idx="3">
                  <c:v>0.35499999999999998</c:v>
                </c:pt>
                <c:pt idx="4">
                  <c:v>0.61</c:v>
                </c:pt>
                <c:pt idx="5">
                  <c:v>0.81</c:v>
                </c:pt>
                <c:pt idx="6">
                  <c:v>0.96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0.995</c:v>
                </c:pt>
                <c:pt idx="33">
                  <c:v>1</c:v>
                </c:pt>
                <c:pt idx="34">
                  <c:v>0.96499999999999997</c:v>
                </c:pt>
                <c:pt idx="35">
                  <c:v>0.96</c:v>
                </c:pt>
                <c:pt idx="36">
                  <c:v>0.94499999999999995</c:v>
                </c:pt>
                <c:pt idx="37">
                  <c:v>1</c:v>
                </c:pt>
                <c:pt idx="38">
                  <c:v>1</c:v>
                </c:pt>
                <c:pt idx="39">
                  <c:v>0.94</c:v>
                </c:pt>
                <c:pt idx="40">
                  <c:v>0.96499999999999997</c:v>
                </c:pt>
                <c:pt idx="41">
                  <c:v>0.94</c:v>
                </c:pt>
                <c:pt idx="42">
                  <c:v>0.93</c:v>
                </c:pt>
                <c:pt idx="43">
                  <c:v>1</c:v>
                </c:pt>
                <c:pt idx="44">
                  <c:v>1</c:v>
                </c:pt>
                <c:pt idx="45">
                  <c:v>0.93500000000000005</c:v>
                </c:pt>
                <c:pt idx="46">
                  <c:v>0.92500000000000004</c:v>
                </c:pt>
                <c:pt idx="47">
                  <c:v>0.93</c:v>
                </c:pt>
                <c:pt idx="48">
                  <c:v>0.93500000000000005</c:v>
                </c:pt>
                <c:pt idx="49">
                  <c:v>1</c:v>
                </c:pt>
                <c:pt idx="50">
                  <c:v>0.94</c:v>
                </c:pt>
                <c:pt idx="51">
                  <c:v>0.95</c:v>
                </c:pt>
                <c:pt idx="52">
                  <c:v>0.95499999999999996</c:v>
                </c:pt>
                <c:pt idx="53">
                  <c:v>0.93</c:v>
                </c:pt>
                <c:pt idx="54">
                  <c:v>1</c:v>
                </c:pt>
                <c:pt idx="55">
                  <c:v>0.92500000000000004</c:v>
                </c:pt>
                <c:pt idx="56">
                  <c:v>1</c:v>
                </c:pt>
                <c:pt idx="57">
                  <c:v>0.93500000000000005</c:v>
                </c:pt>
                <c:pt idx="58">
                  <c:v>0.93</c:v>
                </c:pt>
                <c:pt idx="59">
                  <c:v>0.93500000000000005</c:v>
                </c:pt>
                <c:pt idx="60">
                  <c:v>0.93</c:v>
                </c:pt>
                <c:pt idx="61">
                  <c:v>0.94</c:v>
                </c:pt>
                <c:pt idx="62">
                  <c:v>0.94499999999999995</c:v>
                </c:pt>
                <c:pt idx="63">
                  <c:v>0.94</c:v>
                </c:pt>
                <c:pt idx="64">
                  <c:v>0.95</c:v>
                </c:pt>
                <c:pt idx="65">
                  <c:v>0.99</c:v>
                </c:pt>
                <c:pt idx="66">
                  <c:v>0.97</c:v>
                </c:pt>
                <c:pt idx="67">
                  <c:v>0.96</c:v>
                </c:pt>
                <c:pt idx="68">
                  <c:v>0.95499999999999996</c:v>
                </c:pt>
                <c:pt idx="69">
                  <c:v>0.95</c:v>
                </c:pt>
                <c:pt idx="70">
                  <c:v>1</c:v>
                </c:pt>
                <c:pt idx="71">
                  <c:v>0.97</c:v>
                </c:pt>
                <c:pt idx="72">
                  <c:v>0.94</c:v>
                </c:pt>
                <c:pt idx="73">
                  <c:v>1</c:v>
                </c:pt>
                <c:pt idx="74">
                  <c:v>0.94499999999999995</c:v>
                </c:pt>
                <c:pt idx="75">
                  <c:v>0.93500000000000005</c:v>
                </c:pt>
                <c:pt idx="76">
                  <c:v>0.92500000000000004</c:v>
                </c:pt>
                <c:pt idx="77">
                  <c:v>0.93</c:v>
                </c:pt>
                <c:pt idx="78">
                  <c:v>1</c:v>
                </c:pt>
                <c:pt idx="79">
                  <c:v>0.93500000000000005</c:v>
                </c:pt>
                <c:pt idx="80">
                  <c:v>0.93</c:v>
                </c:pt>
                <c:pt idx="81">
                  <c:v>0.97499999999999998</c:v>
                </c:pt>
                <c:pt idx="82">
                  <c:v>0.94499999999999995</c:v>
                </c:pt>
                <c:pt idx="83">
                  <c:v>0.93500000000000005</c:v>
                </c:pt>
                <c:pt idx="84">
                  <c:v>0.94</c:v>
                </c:pt>
                <c:pt idx="85">
                  <c:v>0.95499999999999996</c:v>
                </c:pt>
                <c:pt idx="86">
                  <c:v>0.94</c:v>
                </c:pt>
                <c:pt idx="87">
                  <c:v>0.93</c:v>
                </c:pt>
                <c:pt idx="88">
                  <c:v>0.93500000000000005</c:v>
                </c:pt>
                <c:pt idx="89">
                  <c:v>1</c:v>
                </c:pt>
                <c:pt idx="90">
                  <c:v>0.94</c:v>
                </c:pt>
                <c:pt idx="91">
                  <c:v>0.93500000000000005</c:v>
                </c:pt>
                <c:pt idx="92">
                  <c:v>0.94</c:v>
                </c:pt>
                <c:pt idx="93">
                  <c:v>1</c:v>
                </c:pt>
                <c:pt idx="94">
                  <c:v>1</c:v>
                </c:pt>
                <c:pt idx="95">
                  <c:v>0.95499999999999996</c:v>
                </c:pt>
                <c:pt idx="96">
                  <c:v>1</c:v>
                </c:pt>
                <c:pt idx="97">
                  <c:v>0.93</c:v>
                </c:pt>
                <c:pt idx="98">
                  <c:v>0.94499999999999995</c:v>
                </c:pt>
                <c:pt idx="99">
                  <c:v>0.93500000000000005</c:v>
                </c:pt>
                <c:pt idx="100">
                  <c:v>1</c:v>
                </c:pt>
                <c:pt idx="101">
                  <c:v>0.91500000000000004</c:v>
                </c:pt>
                <c:pt idx="102">
                  <c:v>0.92500000000000004</c:v>
                </c:pt>
                <c:pt idx="103">
                  <c:v>0.92</c:v>
                </c:pt>
                <c:pt idx="104">
                  <c:v>0.93</c:v>
                </c:pt>
                <c:pt idx="105">
                  <c:v>0.92500000000000004</c:v>
                </c:pt>
                <c:pt idx="106">
                  <c:v>0.95499999999999996</c:v>
                </c:pt>
                <c:pt idx="107">
                  <c:v>0.93500000000000005</c:v>
                </c:pt>
                <c:pt idx="108">
                  <c:v>0.95</c:v>
                </c:pt>
                <c:pt idx="109">
                  <c:v>0.94499999999999995</c:v>
                </c:pt>
                <c:pt idx="110">
                  <c:v>1</c:v>
                </c:pt>
                <c:pt idx="111">
                  <c:v>0.95</c:v>
                </c:pt>
                <c:pt idx="112">
                  <c:v>0.94499999999999995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0.95</c:v>
                </c:pt>
                <c:pt idx="117">
                  <c:v>0.96499999999999997</c:v>
                </c:pt>
                <c:pt idx="118">
                  <c:v>0.92500000000000004</c:v>
                </c:pt>
                <c:pt idx="119">
                  <c:v>0.91500000000000004</c:v>
                </c:pt>
                <c:pt idx="120">
                  <c:v>0.92</c:v>
                </c:pt>
                <c:pt idx="121">
                  <c:v>1</c:v>
                </c:pt>
                <c:pt idx="122">
                  <c:v>0.93</c:v>
                </c:pt>
                <c:pt idx="123">
                  <c:v>0.94</c:v>
                </c:pt>
                <c:pt idx="124">
                  <c:v>0.91500000000000004</c:v>
                </c:pt>
                <c:pt idx="125">
                  <c:v>0.91</c:v>
                </c:pt>
                <c:pt idx="126">
                  <c:v>0.97106000000000003</c:v>
                </c:pt>
                <c:pt idx="127">
                  <c:v>0.77197000000000005</c:v>
                </c:pt>
                <c:pt idx="128">
                  <c:v>0.52869999999999995</c:v>
                </c:pt>
                <c:pt idx="129">
                  <c:v>0.30012</c:v>
                </c:pt>
                <c:pt idx="130">
                  <c:v>-1.298E-2</c:v>
                </c:pt>
                <c:pt idx="131">
                  <c:v>-0.15945000000000001</c:v>
                </c:pt>
                <c:pt idx="132">
                  <c:v>-0.10014000000000001</c:v>
                </c:pt>
                <c:pt idx="133">
                  <c:v>5.833E-2</c:v>
                </c:pt>
                <c:pt idx="134">
                  <c:v>0.17446999999999999</c:v>
                </c:pt>
                <c:pt idx="135">
                  <c:v>0.19</c:v>
                </c:pt>
                <c:pt idx="136">
                  <c:v>0.1368</c:v>
                </c:pt>
                <c:pt idx="137">
                  <c:v>6.5769999999999995E-2</c:v>
                </c:pt>
                <c:pt idx="138">
                  <c:v>2.9389999999999999E-2</c:v>
                </c:pt>
                <c:pt idx="139">
                  <c:v>-6.4000000000000003E-3</c:v>
                </c:pt>
                <c:pt idx="140">
                  <c:v>0.10234</c:v>
                </c:pt>
                <c:pt idx="141">
                  <c:v>4.3860000000000003E-2</c:v>
                </c:pt>
                <c:pt idx="142">
                  <c:v>8.8900000000000003E-3</c:v>
                </c:pt>
                <c:pt idx="143">
                  <c:v>-3.2289999999999999E-2</c:v>
                </c:pt>
                <c:pt idx="144">
                  <c:v>-7.9409999999999994E-2</c:v>
                </c:pt>
                <c:pt idx="145">
                  <c:v>-0.11391999999999999</c:v>
                </c:pt>
                <c:pt idx="146">
                  <c:v>-0.12628</c:v>
                </c:pt>
                <c:pt idx="147">
                  <c:v>-0.11575000000000001</c:v>
                </c:pt>
                <c:pt idx="148">
                  <c:v>-9.3840000000000007E-2</c:v>
                </c:pt>
                <c:pt idx="149">
                  <c:v>-5.706E-2</c:v>
                </c:pt>
                <c:pt idx="150">
                  <c:v>-3.4380000000000001E-2</c:v>
                </c:pt>
                <c:pt idx="151">
                  <c:v>-2.0459999999999999E-2</c:v>
                </c:pt>
                <c:pt idx="152">
                  <c:v>-7.0529999999999995E-2</c:v>
                </c:pt>
                <c:pt idx="153">
                  <c:v>-4.1840000000000002E-2</c:v>
                </c:pt>
                <c:pt idx="154">
                  <c:v>2.2399999999999998E-3</c:v>
                </c:pt>
                <c:pt idx="155">
                  <c:v>3.2829999999999998E-2</c:v>
                </c:pt>
                <c:pt idx="156">
                  <c:v>6.0560000000000003E-2</c:v>
                </c:pt>
                <c:pt idx="157">
                  <c:v>0.104</c:v>
                </c:pt>
                <c:pt idx="158">
                  <c:v>9.8629999999999995E-2</c:v>
                </c:pt>
                <c:pt idx="159">
                  <c:v>8.4400000000000003E-2</c:v>
                </c:pt>
                <c:pt idx="160">
                  <c:v>5.944E-2</c:v>
                </c:pt>
                <c:pt idx="161">
                  <c:v>4.1349999999999998E-2</c:v>
                </c:pt>
                <c:pt idx="162">
                  <c:v>1.9259999999999999E-2</c:v>
                </c:pt>
                <c:pt idx="163">
                  <c:v>6.3009999999999997E-2</c:v>
                </c:pt>
                <c:pt idx="164">
                  <c:v>3.9359999999999999E-2</c:v>
                </c:pt>
                <c:pt idx="165">
                  <c:v>1.3220000000000001E-2</c:v>
                </c:pt>
                <c:pt idx="166">
                  <c:v>-2.2409999999999999E-2</c:v>
                </c:pt>
                <c:pt idx="167">
                  <c:v>-3.6499999999999998E-2</c:v>
                </c:pt>
                <c:pt idx="168">
                  <c:v>-7.1309999999999998E-2</c:v>
                </c:pt>
                <c:pt idx="169">
                  <c:v>-9.8000000000000004E-2</c:v>
                </c:pt>
                <c:pt idx="170">
                  <c:v>-8.8770000000000002E-2</c:v>
                </c:pt>
                <c:pt idx="171">
                  <c:v>-7.0800000000000002E-2</c:v>
                </c:pt>
                <c:pt idx="172">
                  <c:v>-4.1309999999999999E-2</c:v>
                </c:pt>
                <c:pt idx="173">
                  <c:v>-4.4569999999999999E-2</c:v>
                </c:pt>
                <c:pt idx="174">
                  <c:v>-8.2229999999999998E-2</c:v>
                </c:pt>
                <c:pt idx="175">
                  <c:v>-5.5440000000000003E-2</c:v>
                </c:pt>
                <c:pt idx="176">
                  <c:v>-1.7860000000000001E-2</c:v>
                </c:pt>
                <c:pt idx="177">
                  <c:v>1.1010000000000001E-2</c:v>
                </c:pt>
                <c:pt idx="178">
                  <c:v>4.6719999999999998E-2</c:v>
                </c:pt>
                <c:pt idx="179">
                  <c:v>7.5999999999999998E-2</c:v>
                </c:pt>
                <c:pt idx="180">
                  <c:v>6.9690000000000002E-2</c:v>
                </c:pt>
                <c:pt idx="181">
                  <c:v>4.9140000000000003E-2</c:v>
                </c:pt>
                <c:pt idx="182">
                  <c:v>4.2680000000000003E-2</c:v>
                </c:pt>
                <c:pt idx="183">
                  <c:v>3.175E-2</c:v>
                </c:pt>
                <c:pt idx="184">
                  <c:v>3.73E-2</c:v>
                </c:pt>
                <c:pt idx="185">
                  <c:v>2.4330000000000001E-2</c:v>
                </c:pt>
                <c:pt idx="186">
                  <c:v>3.8719999999999997E-2</c:v>
                </c:pt>
                <c:pt idx="187">
                  <c:v>1.4E-2</c:v>
                </c:pt>
                <c:pt idx="188">
                  <c:v>5.0000000000000001E-3</c:v>
                </c:pt>
                <c:pt idx="189">
                  <c:v>2.9099999999999998E-3</c:v>
                </c:pt>
                <c:pt idx="190">
                  <c:v>-1.4E-2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D-4131-998B-623EF701E422}"/>
            </c:ext>
          </c:extLst>
        </c:ser>
        <c:ser>
          <c:idx val="3"/>
          <c:order val="4"/>
          <c:tx>
            <c:strRef>
              <c:f>Data!$AO$1</c:f>
              <c:strCache>
                <c:ptCount val="1"/>
                <c:pt idx="0">
                  <c:v>Pos-Norm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Data!$AO$2:$AO$231</c:f>
              <c:numCache>
                <c:formatCode>0.000</c:formatCode>
                <c:ptCount val="230"/>
                <c:pt idx="0">
                  <c:v>0</c:v>
                </c:pt>
                <c:pt idx="1">
                  <c:v>0</c:v>
                </c:pt>
                <c:pt idx="2">
                  <c:v>1.8975332068311195E-4</c:v>
                </c:pt>
                <c:pt idx="3">
                  <c:v>5.6925996204933583E-4</c:v>
                </c:pt>
                <c:pt idx="4">
                  <c:v>2.4667931688804553E-3</c:v>
                </c:pt>
                <c:pt idx="5">
                  <c:v>6.2618595825426945E-3</c:v>
                </c:pt>
                <c:pt idx="6">
                  <c:v>1.1954459203036054E-2</c:v>
                </c:pt>
                <c:pt idx="7">
                  <c:v>1.935483870967742E-2</c:v>
                </c:pt>
                <c:pt idx="8">
                  <c:v>2.7514231499051234E-2</c:v>
                </c:pt>
                <c:pt idx="9">
                  <c:v>3.7760910815939276E-2</c:v>
                </c:pt>
                <c:pt idx="10">
                  <c:v>4.6110056925996207E-2</c:v>
                </c:pt>
                <c:pt idx="11">
                  <c:v>5.3130929791271347E-2</c:v>
                </c:pt>
                <c:pt idx="12">
                  <c:v>6.0531309297912714E-2</c:v>
                </c:pt>
                <c:pt idx="13">
                  <c:v>6.7741935483870974E-2</c:v>
                </c:pt>
                <c:pt idx="14">
                  <c:v>7.4952561669829221E-2</c:v>
                </c:pt>
                <c:pt idx="15">
                  <c:v>8.1973434535104361E-2</c:v>
                </c:pt>
                <c:pt idx="16">
                  <c:v>8.9184060721062622E-2</c:v>
                </c:pt>
                <c:pt idx="17">
                  <c:v>9.6774193548387094E-2</c:v>
                </c:pt>
                <c:pt idx="18">
                  <c:v>0.10436432637571158</c:v>
                </c:pt>
                <c:pt idx="19">
                  <c:v>0.11214421252371916</c:v>
                </c:pt>
                <c:pt idx="20">
                  <c:v>0.11935483870967742</c:v>
                </c:pt>
                <c:pt idx="21">
                  <c:v>0.12637571157495256</c:v>
                </c:pt>
                <c:pt idx="22">
                  <c:v>0.1333965844402277</c:v>
                </c:pt>
                <c:pt idx="23">
                  <c:v>0.14041745730550284</c:v>
                </c:pt>
                <c:pt idx="24">
                  <c:v>0.14781783681214422</c:v>
                </c:pt>
                <c:pt idx="25">
                  <c:v>0.15464895635673626</c:v>
                </c:pt>
                <c:pt idx="26">
                  <c:v>0.16148007590132826</c:v>
                </c:pt>
                <c:pt idx="27">
                  <c:v>0.1683111954459203</c:v>
                </c:pt>
                <c:pt idx="28">
                  <c:v>0.176280834914611</c:v>
                </c:pt>
                <c:pt idx="29">
                  <c:v>0.18406072106261859</c:v>
                </c:pt>
                <c:pt idx="30">
                  <c:v>0.19278937381404174</c:v>
                </c:pt>
                <c:pt idx="31">
                  <c:v>0.20056925996204933</c:v>
                </c:pt>
                <c:pt idx="32">
                  <c:v>0.21062618595825428</c:v>
                </c:pt>
                <c:pt idx="33">
                  <c:v>0.22030360531309298</c:v>
                </c:pt>
                <c:pt idx="34">
                  <c:v>0.22884250474383303</c:v>
                </c:pt>
                <c:pt idx="35">
                  <c:v>0.23814041745730549</c:v>
                </c:pt>
                <c:pt idx="36">
                  <c:v>0.24573055028462998</c:v>
                </c:pt>
                <c:pt idx="37">
                  <c:v>0.2537001897533207</c:v>
                </c:pt>
                <c:pt idx="38">
                  <c:v>0.26072106261859584</c:v>
                </c:pt>
                <c:pt idx="39">
                  <c:v>0.2683111954459203</c:v>
                </c:pt>
                <c:pt idx="40">
                  <c:v>0.27703984819734345</c:v>
                </c:pt>
                <c:pt idx="41">
                  <c:v>0.28519924098671728</c:v>
                </c:pt>
                <c:pt idx="42">
                  <c:v>0.29259962049335864</c:v>
                </c:pt>
                <c:pt idx="43">
                  <c:v>0.30018975332068309</c:v>
                </c:pt>
                <c:pt idx="44">
                  <c:v>0.30664136622390892</c:v>
                </c:pt>
                <c:pt idx="45">
                  <c:v>0.31461100569259964</c:v>
                </c:pt>
                <c:pt idx="46">
                  <c:v>0.32277039848197342</c:v>
                </c:pt>
                <c:pt idx="47">
                  <c:v>0.33036053130929793</c:v>
                </c:pt>
                <c:pt idx="48">
                  <c:v>0.3381404174573055</c:v>
                </c:pt>
                <c:pt idx="49">
                  <c:v>0.34592030360531312</c:v>
                </c:pt>
                <c:pt idx="50">
                  <c:v>0.35407969639468689</c:v>
                </c:pt>
                <c:pt idx="51">
                  <c:v>0.36261859582542694</c:v>
                </c:pt>
                <c:pt idx="52">
                  <c:v>0.37134724857685009</c:v>
                </c:pt>
                <c:pt idx="53">
                  <c:v>0.37874762808349144</c:v>
                </c:pt>
                <c:pt idx="54">
                  <c:v>0.38595825426944974</c:v>
                </c:pt>
                <c:pt idx="55">
                  <c:v>0.39316888045540799</c:v>
                </c:pt>
                <c:pt idx="56">
                  <c:v>0.40056925996204934</c:v>
                </c:pt>
                <c:pt idx="57">
                  <c:v>0.4081593927893738</c:v>
                </c:pt>
                <c:pt idx="58">
                  <c:v>0.41555977229601521</c:v>
                </c:pt>
                <c:pt idx="59">
                  <c:v>0.42314990512333966</c:v>
                </c:pt>
                <c:pt idx="60">
                  <c:v>0.43055028462998102</c:v>
                </c:pt>
                <c:pt idx="61">
                  <c:v>0.43851992409867174</c:v>
                </c:pt>
                <c:pt idx="62">
                  <c:v>0.44667931688804552</c:v>
                </c:pt>
                <c:pt idx="63">
                  <c:v>0.45445920303605314</c:v>
                </c:pt>
                <c:pt idx="64">
                  <c:v>0.4622390891840607</c:v>
                </c:pt>
                <c:pt idx="65">
                  <c:v>0.47153700189753323</c:v>
                </c:pt>
                <c:pt idx="66">
                  <c:v>0.48007590132827327</c:v>
                </c:pt>
                <c:pt idx="67">
                  <c:v>0.48842504743833015</c:v>
                </c:pt>
                <c:pt idx="68">
                  <c:v>0.49753320683111957</c:v>
                </c:pt>
                <c:pt idx="69">
                  <c:v>0.5056925996204934</c:v>
                </c:pt>
                <c:pt idx="70">
                  <c:v>0.51366223908918407</c:v>
                </c:pt>
                <c:pt idx="71">
                  <c:v>0.52352941176470591</c:v>
                </c:pt>
                <c:pt idx="72">
                  <c:v>0.53168880455407974</c:v>
                </c:pt>
                <c:pt idx="73">
                  <c:v>0.54003795066413662</c:v>
                </c:pt>
                <c:pt idx="74">
                  <c:v>0.54857685009487667</c:v>
                </c:pt>
                <c:pt idx="75">
                  <c:v>0.55692599620493355</c:v>
                </c:pt>
                <c:pt idx="76">
                  <c:v>0.56470588235294117</c:v>
                </c:pt>
                <c:pt idx="77">
                  <c:v>0.57267552182163184</c:v>
                </c:pt>
                <c:pt idx="78">
                  <c:v>0.58045540796963946</c:v>
                </c:pt>
                <c:pt idx="79">
                  <c:v>0.58861480075901329</c:v>
                </c:pt>
                <c:pt idx="80">
                  <c:v>0.59696394686907017</c:v>
                </c:pt>
                <c:pt idx="81">
                  <c:v>0.60664136622390896</c:v>
                </c:pt>
                <c:pt idx="82">
                  <c:v>0.61518026565464901</c:v>
                </c:pt>
                <c:pt idx="83">
                  <c:v>0.62333965844402273</c:v>
                </c:pt>
                <c:pt idx="84">
                  <c:v>0.63168880455407972</c:v>
                </c:pt>
                <c:pt idx="85">
                  <c:v>0.64022770398481976</c:v>
                </c:pt>
                <c:pt idx="86">
                  <c:v>0.64819734345351043</c:v>
                </c:pt>
                <c:pt idx="87">
                  <c:v>0.65578747628083489</c:v>
                </c:pt>
                <c:pt idx="88">
                  <c:v>0.66299810246679314</c:v>
                </c:pt>
                <c:pt idx="89">
                  <c:v>0.67020872865275138</c:v>
                </c:pt>
                <c:pt idx="90">
                  <c:v>0.67760910815939279</c:v>
                </c:pt>
                <c:pt idx="91">
                  <c:v>0.6850094876660342</c:v>
                </c:pt>
                <c:pt idx="92">
                  <c:v>0.69222011385199245</c:v>
                </c:pt>
                <c:pt idx="93">
                  <c:v>0.69962049335863374</c:v>
                </c:pt>
                <c:pt idx="94">
                  <c:v>0.70796963946869074</c:v>
                </c:pt>
                <c:pt idx="95">
                  <c:v>0.71745730550284625</c:v>
                </c:pt>
                <c:pt idx="96">
                  <c:v>0.72618595825426946</c:v>
                </c:pt>
                <c:pt idx="97">
                  <c:v>0.73415559772296013</c:v>
                </c:pt>
                <c:pt idx="98">
                  <c:v>0.7434535104364326</c:v>
                </c:pt>
                <c:pt idx="99">
                  <c:v>0.75199240986717264</c:v>
                </c:pt>
                <c:pt idx="100">
                  <c:v>0.75996204933586342</c:v>
                </c:pt>
                <c:pt idx="101">
                  <c:v>0.76755218216318788</c:v>
                </c:pt>
                <c:pt idx="102">
                  <c:v>0.77495256166982918</c:v>
                </c:pt>
                <c:pt idx="103">
                  <c:v>0.78425047438330175</c:v>
                </c:pt>
                <c:pt idx="104">
                  <c:v>0.79240986717267548</c:v>
                </c:pt>
                <c:pt idx="105">
                  <c:v>0.80018975332068309</c:v>
                </c:pt>
                <c:pt idx="106">
                  <c:v>0.8089184060721063</c:v>
                </c:pt>
                <c:pt idx="107">
                  <c:v>0.81669829222011381</c:v>
                </c:pt>
                <c:pt idx="108">
                  <c:v>0.8250474383301708</c:v>
                </c:pt>
                <c:pt idx="109">
                  <c:v>0.83282732447817842</c:v>
                </c:pt>
                <c:pt idx="110">
                  <c:v>0.84060721062618593</c:v>
                </c:pt>
                <c:pt idx="111">
                  <c:v>0.84857685009487671</c:v>
                </c:pt>
                <c:pt idx="112">
                  <c:v>0.85635673624288422</c:v>
                </c:pt>
                <c:pt idx="113">
                  <c:v>0.86413662239089184</c:v>
                </c:pt>
                <c:pt idx="114">
                  <c:v>0.87096774193548387</c:v>
                </c:pt>
                <c:pt idx="115">
                  <c:v>0.87798861480075896</c:v>
                </c:pt>
                <c:pt idx="116">
                  <c:v>0.88690702087286533</c:v>
                </c:pt>
                <c:pt idx="117">
                  <c:v>0.89677419354838706</c:v>
                </c:pt>
                <c:pt idx="118">
                  <c:v>0.90436432637571162</c:v>
                </c:pt>
                <c:pt idx="119">
                  <c:v>0.91119544592030366</c:v>
                </c:pt>
                <c:pt idx="120">
                  <c:v>0.91859582542694496</c:v>
                </c:pt>
                <c:pt idx="121">
                  <c:v>0.9258064516129032</c:v>
                </c:pt>
                <c:pt idx="122">
                  <c:v>0.93320683111954461</c:v>
                </c:pt>
                <c:pt idx="123">
                  <c:v>0.94212523719165087</c:v>
                </c:pt>
                <c:pt idx="124">
                  <c:v>0.94914611005692595</c:v>
                </c:pt>
                <c:pt idx="125">
                  <c:v>0.95616698292220115</c:v>
                </c:pt>
                <c:pt idx="126">
                  <c:v>0.96318785578747623</c:v>
                </c:pt>
                <c:pt idx="127">
                  <c:v>0.97020872865275143</c:v>
                </c:pt>
                <c:pt idx="128">
                  <c:v>0.9768500948766603</c:v>
                </c:pt>
                <c:pt idx="129">
                  <c:v>0.98349146110056929</c:v>
                </c:pt>
                <c:pt idx="130">
                  <c:v>0.98975332068311195</c:v>
                </c:pt>
                <c:pt idx="131">
                  <c:v>0.99392789373814039</c:v>
                </c:pt>
                <c:pt idx="132">
                  <c:v>0.9956356736242884</c:v>
                </c:pt>
                <c:pt idx="133">
                  <c:v>0.99582542694497156</c:v>
                </c:pt>
                <c:pt idx="134">
                  <c:v>0.99582542694497156</c:v>
                </c:pt>
                <c:pt idx="135">
                  <c:v>0.99639468690702082</c:v>
                </c:pt>
                <c:pt idx="136">
                  <c:v>0.99753320683111957</c:v>
                </c:pt>
                <c:pt idx="137">
                  <c:v>0.9986717267552182</c:v>
                </c:pt>
                <c:pt idx="138">
                  <c:v>0.99981024667931684</c:v>
                </c:pt>
                <c:pt idx="139">
                  <c:v>1.0007590132827324</c:v>
                </c:pt>
                <c:pt idx="140">
                  <c:v>1.0013282732447817</c:v>
                </c:pt>
                <c:pt idx="141">
                  <c:v>1.0020872865275143</c:v>
                </c:pt>
                <c:pt idx="142">
                  <c:v>1.0026565464895636</c:v>
                </c:pt>
                <c:pt idx="143">
                  <c:v>1.0030360531309297</c:v>
                </c:pt>
                <c:pt idx="144">
                  <c:v>1.0032258064516129</c:v>
                </c:pt>
                <c:pt idx="145">
                  <c:v>1.0030360531309297</c:v>
                </c:pt>
                <c:pt idx="146">
                  <c:v>1.0026565464895636</c:v>
                </c:pt>
                <c:pt idx="147">
                  <c:v>1.0020872865275143</c:v>
                </c:pt>
                <c:pt idx="148">
                  <c:v>1.0013282732447817</c:v>
                </c:pt>
                <c:pt idx="149">
                  <c:v>1.0005692599620493</c:v>
                </c:pt>
                <c:pt idx="150">
                  <c:v>1</c:v>
                </c:pt>
                <c:pt idx="151">
                  <c:v>0.99943074003795063</c:v>
                </c:pt>
                <c:pt idx="152">
                  <c:v>0.99886148007590136</c:v>
                </c:pt>
                <c:pt idx="153">
                  <c:v>0.99848197343453515</c:v>
                </c:pt>
                <c:pt idx="154">
                  <c:v>0.99810246679316883</c:v>
                </c:pt>
                <c:pt idx="155">
                  <c:v>0.99772296015180262</c:v>
                </c:pt>
                <c:pt idx="156">
                  <c:v>0.99772296015180262</c:v>
                </c:pt>
                <c:pt idx="157">
                  <c:v>0.99791271347248578</c:v>
                </c:pt>
                <c:pt idx="158">
                  <c:v>0.99829222011385199</c:v>
                </c:pt>
                <c:pt idx="159">
                  <c:v>0.99886148007590136</c:v>
                </c:pt>
                <c:pt idx="160">
                  <c:v>0.99943074003795063</c:v>
                </c:pt>
                <c:pt idx="161">
                  <c:v>1</c:v>
                </c:pt>
                <c:pt idx="162">
                  <c:v>1.0003795066413663</c:v>
                </c:pt>
                <c:pt idx="163">
                  <c:v>1.0007590132827324</c:v>
                </c:pt>
                <c:pt idx="164">
                  <c:v>1.0011385199240987</c:v>
                </c:pt>
                <c:pt idx="165">
                  <c:v>1.0013282732447817</c:v>
                </c:pt>
                <c:pt idx="166">
                  <c:v>1.001707779886148</c:v>
                </c:pt>
                <c:pt idx="167">
                  <c:v>1.0018975332068312</c:v>
                </c:pt>
                <c:pt idx="168">
                  <c:v>1.0018975332068312</c:v>
                </c:pt>
                <c:pt idx="169">
                  <c:v>1.001707779886148</c:v>
                </c:pt>
                <c:pt idx="170">
                  <c:v>1.0013282732447817</c:v>
                </c:pt>
                <c:pt idx="171">
                  <c:v>1.0007590132827324</c:v>
                </c:pt>
                <c:pt idx="172">
                  <c:v>1.0003795066413663</c:v>
                </c:pt>
                <c:pt idx="173">
                  <c:v>0.99981024667931684</c:v>
                </c:pt>
                <c:pt idx="174">
                  <c:v>0.99924098671726758</c:v>
                </c:pt>
                <c:pt idx="175">
                  <c:v>0.99886148007590136</c:v>
                </c:pt>
                <c:pt idx="176">
                  <c:v>0.99848197343453515</c:v>
                </c:pt>
                <c:pt idx="177">
                  <c:v>0.99829222011385199</c:v>
                </c:pt>
                <c:pt idx="178">
                  <c:v>0.99829222011385199</c:v>
                </c:pt>
                <c:pt idx="179">
                  <c:v>0.99848197343453515</c:v>
                </c:pt>
                <c:pt idx="180">
                  <c:v>0.99886148007590136</c:v>
                </c:pt>
                <c:pt idx="181">
                  <c:v>0.99924098671726758</c:v>
                </c:pt>
                <c:pt idx="182">
                  <c:v>0.99962049335863379</c:v>
                </c:pt>
                <c:pt idx="183">
                  <c:v>0.99981024667931684</c:v>
                </c:pt>
                <c:pt idx="184">
                  <c:v>1</c:v>
                </c:pt>
                <c:pt idx="185">
                  <c:v>1.0001897533206832</c:v>
                </c:pt>
                <c:pt idx="186">
                  <c:v>1.0001897533206832</c:v>
                </c:pt>
                <c:pt idx="187">
                  <c:v>1.0001897533206832</c:v>
                </c:pt>
                <c:pt idx="188">
                  <c:v>1.0003795066413663</c:v>
                </c:pt>
                <c:pt idx="189">
                  <c:v>1.0003795066413663</c:v>
                </c:pt>
                <c:pt idx="190">
                  <c:v>1.0003795066413663</c:v>
                </c:pt>
                <c:pt idx="191">
                  <c:v>1.0003795066413663</c:v>
                </c:pt>
                <c:pt idx="192">
                  <c:v>1.0003795066413663</c:v>
                </c:pt>
                <c:pt idx="193">
                  <c:v>1.0003795066413663</c:v>
                </c:pt>
                <c:pt idx="194">
                  <c:v>1.0003795066413663</c:v>
                </c:pt>
                <c:pt idx="195">
                  <c:v>1.0003795066413663</c:v>
                </c:pt>
                <c:pt idx="196">
                  <c:v>1.0003795066413663</c:v>
                </c:pt>
                <c:pt idx="197">
                  <c:v>1.0003795066413663</c:v>
                </c:pt>
                <c:pt idx="198">
                  <c:v>1.0003795066413663</c:v>
                </c:pt>
                <c:pt idx="199">
                  <c:v>1.0003795066413663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F3-4749-B433-99EFB690A6C4}"/>
            </c:ext>
          </c:extLst>
        </c:ser>
        <c:ser>
          <c:idx val="4"/>
          <c:order val="5"/>
          <c:tx>
            <c:strRef>
              <c:f>Data!$AR$1</c:f>
              <c:strCache>
                <c:ptCount val="1"/>
                <c:pt idx="0">
                  <c:v>I-Target-Norm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Data!$AR$2:$AR$231</c:f>
              <c:numCache>
                <c:formatCode>0.000</c:formatCode>
                <c:ptCount val="230"/>
                <c:pt idx="0">
                  <c:v>3.7950664136622391E-4</c:v>
                </c:pt>
                <c:pt idx="1">
                  <c:v>1.8975332068311196E-3</c:v>
                </c:pt>
                <c:pt idx="2">
                  <c:v>6.4516129032258064E-3</c:v>
                </c:pt>
                <c:pt idx="3">
                  <c:v>1.3662239089184061E-2</c:v>
                </c:pt>
                <c:pt idx="4">
                  <c:v>2.3719165085388995E-2</c:v>
                </c:pt>
                <c:pt idx="5">
                  <c:v>3.3206831119544589E-2</c:v>
                </c:pt>
                <c:pt idx="6">
                  <c:v>4.2694497153700189E-2</c:v>
                </c:pt>
                <c:pt idx="7">
                  <c:v>5.218216318785579E-2</c:v>
                </c:pt>
                <c:pt idx="8">
                  <c:v>6.204933586337761E-2</c:v>
                </c:pt>
                <c:pt idx="9">
                  <c:v>7.0777988614800766E-2</c:v>
                </c:pt>
                <c:pt idx="10">
                  <c:v>8.1593927893738136E-2</c:v>
                </c:pt>
                <c:pt idx="11">
                  <c:v>8.8614800759013276E-2</c:v>
                </c:pt>
                <c:pt idx="12">
                  <c:v>9.5635673624288431E-2</c:v>
                </c:pt>
                <c:pt idx="13">
                  <c:v>0.10265654648956357</c:v>
                </c:pt>
                <c:pt idx="14">
                  <c:v>0.10986717267552182</c:v>
                </c:pt>
                <c:pt idx="15">
                  <c:v>0.11669829222011385</c:v>
                </c:pt>
                <c:pt idx="16">
                  <c:v>0.12371916508538899</c:v>
                </c:pt>
                <c:pt idx="17">
                  <c:v>0.13074003795066413</c:v>
                </c:pt>
                <c:pt idx="18">
                  <c:v>0.13814041745730551</c:v>
                </c:pt>
                <c:pt idx="19">
                  <c:v>0.14573055028462997</c:v>
                </c:pt>
                <c:pt idx="20">
                  <c:v>0.15275142314990511</c:v>
                </c:pt>
                <c:pt idx="21">
                  <c:v>0.15977229601518025</c:v>
                </c:pt>
                <c:pt idx="22">
                  <c:v>0.16641366223908918</c:v>
                </c:pt>
                <c:pt idx="23">
                  <c:v>0.17324478178368122</c:v>
                </c:pt>
                <c:pt idx="24">
                  <c:v>0.18026565464895636</c:v>
                </c:pt>
                <c:pt idx="25">
                  <c:v>0.18690702087286529</c:v>
                </c:pt>
                <c:pt idx="26">
                  <c:v>0.19354838709677419</c:v>
                </c:pt>
                <c:pt idx="27">
                  <c:v>0.2</c:v>
                </c:pt>
                <c:pt idx="28">
                  <c:v>0.20759013282732447</c:v>
                </c:pt>
                <c:pt idx="29">
                  <c:v>0.2144212523719165</c:v>
                </c:pt>
                <c:pt idx="30">
                  <c:v>0.22258064516129034</c:v>
                </c:pt>
                <c:pt idx="31">
                  <c:v>0.23092979127134725</c:v>
                </c:pt>
                <c:pt idx="32">
                  <c:v>0.23833017077798863</c:v>
                </c:pt>
                <c:pt idx="33">
                  <c:v>0.24876660341555978</c:v>
                </c:pt>
                <c:pt idx="34">
                  <c:v>0.25692599620493356</c:v>
                </c:pt>
                <c:pt idx="35">
                  <c:v>0.2652751423149905</c:v>
                </c:pt>
                <c:pt idx="36">
                  <c:v>0.27400379506641365</c:v>
                </c:pt>
                <c:pt idx="37">
                  <c:v>0.28159392789373816</c:v>
                </c:pt>
                <c:pt idx="38">
                  <c:v>0.28956356736242883</c:v>
                </c:pt>
                <c:pt idx="39">
                  <c:v>0.29639468690702087</c:v>
                </c:pt>
                <c:pt idx="40">
                  <c:v>0.30493358633776091</c:v>
                </c:pt>
                <c:pt idx="41">
                  <c:v>0.31271347248576847</c:v>
                </c:pt>
                <c:pt idx="42">
                  <c:v>0.32049335863377609</c:v>
                </c:pt>
                <c:pt idx="43">
                  <c:v>0.32789373814041745</c:v>
                </c:pt>
                <c:pt idx="44">
                  <c:v>0.33548387096774196</c:v>
                </c:pt>
                <c:pt idx="45">
                  <c:v>0.34212523719165083</c:v>
                </c:pt>
                <c:pt idx="46">
                  <c:v>0.34971537001897535</c:v>
                </c:pt>
                <c:pt idx="47">
                  <c:v>0.35806451612903228</c:v>
                </c:pt>
                <c:pt idx="48">
                  <c:v>0.36584440227703985</c:v>
                </c:pt>
                <c:pt idx="49">
                  <c:v>0.37362428842504741</c:v>
                </c:pt>
                <c:pt idx="50">
                  <c:v>0.38159392789373814</c:v>
                </c:pt>
                <c:pt idx="51">
                  <c:v>0.39013282732447818</c:v>
                </c:pt>
                <c:pt idx="52">
                  <c:v>0.39886148007590133</c:v>
                </c:pt>
                <c:pt idx="53">
                  <c:v>0.4066413662239089</c:v>
                </c:pt>
                <c:pt idx="54">
                  <c:v>0.4140417457305503</c:v>
                </c:pt>
                <c:pt idx="55">
                  <c:v>0.42106261859582544</c:v>
                </c:pt>
                <c:pt idx="56">
                  <c:v>0.42827324478178369</c:v>
                </c:pt>
                <c:pt idx="57">
                  <c:v>0.43605313092979125</c:v>
                </c:pt>
                <c:pt idx="58">
                  <c:v>0.44345351043643266</c:v>
                </c:pt>
                <c:pt idx="59">
                  <c:v>0.45104364326375712</c:v>
                </c:pt>
                <c:pt idx="60">
                  <c:v>0.45844402277039847</c:v>
                </c:pt>
                <c:pt idx="61">
                  <c:v>0.46622390891840609</c:v>
                </c:pt>
                <c:pt idx="62">
                  <c:v>0.47438330170777987</c:v>
                </c:pt>
                <c:pt idx="63">
                  <c:v>0.4823529411764706</c:v>
                </c:pt>
                <c:pt idx="64">
                  <c:v>0.49051233396584443</c:v>
                </c:pt>
                <c:pt idx="65">
                  <c:v>0.49981024667931689</c:v>
                </c:pt>
                <c:pt idx="66">
                  <c:v>0.50834914611005688</c:v>
                </c:pt>
                <c:pt idx="67">
                  <c:v>0.51650853889943071</c:v>
                </c:pt>
                <c:pt idx="68">
                  <c:v>0.52466793168880455</c:v>
                </c:pt>
                <c:pt idx="69">
                  <c:v>0.5335863377609108</c:v>
                </c:pt>
                <c:pt idx="70">
                  <c:v>0.54174573055028463</c:v>
                </c:pt>
                <c:pt idx="71">
                  <c:v>0.55047438330170773</c:v>
                </c:pt>
                <c:pt idx="72">
                  <c:v>0.55920303605313093</c:v>
                </c:pt>
                <c:pt idx="73">
                  <c:v>0.56736242884250476</c:v>
                </c:pt>
                <c:pt idx="74">
                  <c:v>0.57590132827324481</c:v>
                </c:pt>
                <c:pt idx="75">
                  <c:v>0.58406072106261864</c:v>
                </c:pt>
                <c:pt idx="76">
                  <c:v>0.59203036053130931</c:v>
                </c:pt>
                <c:pt idx="77">
                  <c:v>0.6</c:v>
                </c:pt>
                <c:pt idx="78">
                  <c:v>0.60796963946869065</c:v>
                </c:pt>
                <c:pt idx="79">
                  <c:v>0.61593927893738143</c:v>
                </c:pt>
                <c:pt idx="80">
                  <c:v>0.6239089184060721</c:v>
                </c:pt>
                <c:pt idx="81">
                  <c:v>0.63396584440227699</c:v>
                </c:pt>
                <c:pt idx="82">
                  <c:v>0.64250474383301703</c:v>
                </c:pt>
                <c:pt idx="83">
                  <c:v>0.65066413662239087</c:v>
                </c:pt>
                <c:pt idx="84">
                  <c:v>0.65901328273244786</c:v>
                </c:pt>
                <c:pt idx="85">
                  <c:v>0.66793168880455411</c:v>
                </c:pt>
                <c:pt idx="86">
                  <c:v>0.67590132827324478</c:v>
                </c:pt>
                <c:pt idx="87">
                  <c:v>0.68349146110056924</c:v>
                </c:pt>
                <c:pt idx="88">
                  <c:v>0.69127134724857686</c:v>
                </c:pt>
                <c:pt idx="89">
                  <c:v>0.69848197343453511</c:v>
                </c:pt>
                <c:pt idx="90">
                  <c:v>0.70588235294117652</c:v>
                </c:pt>
                <c:pt idx="91">
                  <c:v>0.71309297912713476</c:v>
                </c:pt>
                <c:pt idx="92">
                  <c:v>0.72068311195445922</c:v>
                </c:pt>
                <c:pt idx="93">
                  <c:v>0.72789373814041747</c:v>
                </c:pt>
                <c:pt idx="94">
                  <c:v>0.73529411764705888</c:v>
                </c:pt>
                <c:pt idx="95">
                  <c:v>0.74421252371916513</c:v>
                </c:pt>
                <c:pt idx="96">
                  <c:v>0.75370018975332065</c:v>
                </c:pt>
                <c:pt idx="97">
                  <c:v>0.76148007590132827</c:v>
                </c:pt>
                <c:pt idx="98">
                  <c:v>0.77001897533206831</c:v>
                </c:pt>
                <c:pt idx="99">
                  <c:v>0.77893738140417457</c:v>
                </c:pt>
                <c:pt idx="100">
                  <c:v>0.78747628083491461</c:v>
                </c:pt>
                <c:pt idx="101">
                  <c:v>0.79468690702087286</c:v>
                </c:pt>
                <c:pt idx="102">
                  <c:v>0.80265654648956353</c:v>
                </c:pt>
                <c:pt idx="103">
                  <c:v>0.80986717267552177</c:v>
                </c:pt>
                <c:pt idx="104">
                  <c:v>0.81954459203036056</c:v>
                </c:pt>
                <c:pt idx="105">
                  <c:v>0.82751423149905123</c:v>
                </c:pt>
                <c:pt idx="106">
                  <c:v>0.83643263757115749</c:v>
                </c:pt>
                <c:pt idx="107">
                  <c:v>0.84440227703984816</c:v>
                </c:pt>
                <c:pt idx="108">
                  <c:v>0.85275142314990515</c:v>
                </c:pt>
                <c:pt idx="109">
                  <c:v>0.86091081593927898</c:v>
                </c:pt>
                <c:pt idx="110">
                  <c:v>0.86869070208728649</c:v>
                </c:pt>
                <c:pt idx="111">
                  <c:v>0.87666034155597727</c:v>
                </c:pt>
                <c:pt idx="112">
                  <c:v>0.88444022770398478</c:v>
                </c:pt>
                <c:pt idx="113">
                  <c:v>0.8922201138519924</c:v>
                </c:pt>
                <c:pt idx="114">
                  <c:v>0.9</c:v>
                </c:pt>
                <c:pt idx="115">
                  <c:v>0.90683111954459206</c:v>
                </c:pt>
                <c:pt idx="116">
                  <c:v>0.9140417457305503</c:v>
                </c:pt>
                <c:pt idx="117">
                  <c:v>0.92352941176470593</c:v>
                </c:pt>
                <c:pt idx="118">
                  <c:v>0.93187855787476281</c:v>
                </c:pt>
                <c:pt idx="119">
                  <c:v>0.93908918406072106</c:v>
                </c:pt>
                <c:pt idx="120">
                  <c:v>0.94611005692599626</c:v>
                </c:pt>
                <c:pt idx="121">
                  <c:v>0.95351043643263755</c:v>
                </c:pt>
                <c:pt idx="122">
                  <c:v>0.96110056925996201</c:v>
                </c:pt>
                <c:pt idx="123">
                  <c:v>0.96888045540796963</c:v>
                </c:pt>
                <c:pt idx="124">
                  <c:v>0.9768500948766603</c:v>
                </c:pt>
                <c:pt idx="125">
                  <c:v>0.98368121442125234</c:v>
                </c:pt>
                <c:pt idx="126">
                  <c:v>0.99051233396584437</c:v>
                </c:pt>
                <c:pt idx="127">
                  <c:v>0.99544592030360535</c:v>
                </c:pt>
                <c:pt idx="128">
                  <c:v>0.99848197343453515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F3-4749-B433-99EFB690A6C4}"/>
            </c:ext>
          </c:extLst>
        </c:ser>
        <c:ser>
          <c:idx val="10"/>
          <c:order val="11"/>
          <c:tx>
            <c:strRef>
              <c:f>Data!$AQ$1</c:f>
              <c:strCache>
                <c:ptCount val="1"/>
                <c:pt idx="0">
                  <c:v>Relative-Error</c:v>
                </c:pt>
              </c:strCache>
            </c:strRef>
          </c:tx>
          <c:spPr>
            <a:ln w="3492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Data!$AQ$2:$AQ$231</c:f>
              <c:numCache>
                <c:formatCode>0%</c:formatCode>
                <c:ptCount val="230"/>
                <c:pt idx="0">
                  <c:v>1.06951871657754E-2</c:v>
                </c:pt>
                <c:pt idx="1">
                  <c:v>5.3475935828877004E-2</c:v>
                </c:pt>
                <c:pt idx="2">
                  <c:v>0.17647058823529413</c:v>
                </c:pt>
                <c:pt idx="3">
                  <c:v>0.36898395721925131</c:v>
                </c:pt>
                <c:pt idx="4">
                  <c:v>0.59893048128342241</c:v>
                </c:pt>
                <c:pt idx="5">
                  <c:v>0.75935828877005351</c:v>
                </c:pt>
                <c:pt idx="6">
                  <c:v>0.86631016042780751</c:v>
                </c:pt>
                <c:pt idx="7">
                  <c:v>0.92513368983957223</c:v>
                </c:pt>
                <c:pt idx="8">
                  <c:v>0.9732620320855615</c:v>
                </c:pt>
                <c:pt idx="9">
                  <c:v>0.93048128342245995</c:v>
                </c:pt>
                <c:pt idx="10">
                  <c:v>1</c:v>
                </c:pt>
                <c:pt idx="11">
                  <c:v>1</c:v>
                </c:pt>
                <c:pt idx="12">
                  <c:v>0.98930481283422456</c:v>
                </c:pt>
                <c:pt idx="13">
                  <c:v>0.98395721925133695</c:v>
                </c:pt>
                <c:pt idx="14">
                  <c:v>0.98395721925133695</c:v>
                </c:pt>
                <c:pt idx="15">
                  <c:v>0.97860962566844922</c:v>
                </c:pt>
                <c:pt idx="16">
                  <c:v>0.9732620320855615</c:v>
                </c:pt>
                <c:pt idx="17">
                  <c:v>0.95721925133689845</c:v>
                </c:pt>
                <c:pt idx="18">
                  <c:v>0.95187165775401072</c:v>
                </c:pt>
                <c:pt idx="19">
                  <c:v>0.946524064171123</c:v>
                </c:pt>
                <c:pt idx="20">
                  <c:v>0.94117647058823528</c:v>
                </c:pt>
                <c:pt idx="21">
                  <c:v>0.94117647058823528</c:v>
                </c:pt>
                <c:pt idx="22">
                  <c:v>0.93048128342245995</c:v>
                </c:pt>
                <c:pt idx="23">
                  <c:v>0.92513368983957223</c:v>
                </c:pt>
                <c:pt idx="24">
                  <c:v>0.91443850267379678</c:v>
                </c:pt>
                <c:pt idx="25">
                  <c:v>0.90909090909090906</c:v>
                </c:pt>
                <c:pt idx="26">
                  <c:v>0.90374331550802134</c:v>
                </c:pt>
                <c:pt idx="27">
                  <c:v>0.89304812834224601</c:v>
                </c:pt>
                <c:pt idx="28">
                  <c:v>0.88235294117647056</c:v>
                </c:pt>
                <c:pt idx="29">
                  <c:v>0.85561497326203206</c:v>
                </c:pt>
                <c:pt idx="30">
                  <c:v>0.83957219251336901</c:v>
                </c:pt>
                <c:pt idx="31">
                  <c:v>0.85561497326203206</c:v>
                </c:pt>
                <c:pt idx="32">
                  <c:v>0.78074866310160429</c:v>
                </c:pt>
                <c:pt idx="33">
                  <c:v>0.80213903743315507</c:v>
                </c:pt>
                <c:pt idx="34">
                  <c:v>0.79144385026737973</c:v>
                </c:pt>
                <c:pt idx="35">
                  <c:v>0.76470588235294112</c:v>
                </c:pt>
                <c:pt idx="36">
                  <c:v>0.79679144385026734</c:v>
                </c:pt>
                <c:pt idx="37">
                  <c:v>0.78609625668449201</c:v>
                </c:pt>
                <c:pt idx="38">
                  <c:v>0.81283422459893051</c:v>
                </c:pt>
                <c:pt idx="39">
                  <c:v>0.79144385026737973</c:v>
                </c:pt>
                <c:pt idx="40">
                  <c:v>0.78609625668449201</c:v>
                </c:pt>
                <c:pt idx="41">
                  <c:v>0.77540106951871657</c:v>
                </c:pt>
                <c:pt idx="42">
                  <c:v>0.78609625668449201</c:v>
                </c:pt>
                <c:pt idx="43">
                  <c:v>0.78074866310160429</c:v>
                </c:pt>
                <c:pt idx="44">
                  <c:v>0.81283422459893051</c:v>
                </c:pt>
                <c:pt idx="45">
                  <c:v>0.77540106951871657</c:v>
                </c:pt>
                <c:pt idx="46">
                  <c:v>0.75935828877005351</c:v>
                </c:pt>
                <c:pt idx="47">
                  <c:v>0.78074866310160429</c:v>
                </c:pt>
                <c:pt idx="48">
                  <c:v>0.78074866310160429</c:v>
                </c:pt>
                <c:pt idx="49">
                  <c:v>0.78074866310160429</c:v>
                </c:pt>
                <c:pt idx="50">
                  <c:v>0.77540106951871657</c:v>
                </c:pt>
                <c:pt idx="51">
                  <c:v>0.77540106951871657</c:v>
                </c:pt>
                <c:pt idx="52">
                  <c:v>0.77540106951871657</c:v>
                </c:pt>
                <c:pt idx="53">
                  <c:v>0.78609625668449201</c:v>
                </c:pt>
                <c:pt idx="54">
                  <c:v>0.79144385026737973</c:v>
                </c:pt>
                <c:pt idx="55">
                  <c:v>0.78609625668449201</c:v>
                </c:pt>
                <c:pt idx="56">
                  <c:v>0.78074866310160429</c:v>
                </c:pt>
                <c:pt idx="57">
                  <c:v>0.78609625668449201</c:v>
                </c:pt>
                <c:pt idx="58">
                  <c:v>0.78609625668449201</c:v>
                </c:pt>
                <c:pt idx="59">
                  <c:v>0.78609625668449201</c:v>
                </c:pt>
                <c:pt idx="60">
                  <c:v>0.78609625668449201</c:v>
                </c:pt>
                <c:pt idx="61">
                  <c:v>0.78074866310160429</c:v>
                </c:pt>
                <c:pt idx="62">
                  <c:v>0.78074866310160429</c:v>
                </c:pt>
                <c:pt idx="63">
                  <c:v>0.78609625668449201</c:v>
                </c:pt>
                <c:pt idx="64">
                  <c:v>0.79679144385026734</c:v>
                </c:pt>
                <c:pt idx="65">
                  <c:v>0.79679144385026734</c:v>
                </c:pt>
                <c:pt idx="66">
                  <c:v>0.79679144385026734</c:v>
                </c:pt>
                <c:pt idx="67">
                  <c:v>0.79144385026737973</c:v>
                </c:pt>
                <c:pt idx="68">
                  <c:v>0.76470588235294112</c:v>
                </c:pt>
                <c:pt idx="69">
                  <c:v>0.78609625668449201</c:v>
                </c:pt>
                <c:pt idx="70">
                  <c:v>0.79144385026737973</c:v>
                </c:pt>
                <c:pt idx="71">
                  <c:v>0.75935828877005351</c:v>
                </c:pt>
                <c:pt idx="72">
                  <c:v>0.77540106951871657</c:v>
                </c:pt>
                <c:pt idx="73">
                  <c:v>0.77005347593582885</c:v>
                </c:pt>
                <c:pt idx="74">
                  <c:v>0.77005347593582885</c:v>
                </c:pt>
                <c:pt idx="75">
                  <c:v>0.76470588235294112</c:v>
                </c:pt>
                <c:pt idx="76">
                  <c:v>0.77005347593582885</c:v>
                </c:pt>
                <c:pt idx="77">
                  <c:v>0.77005347593582885</c:v>
                </c:pt>
                <c:pt idx="78">
                  <c:v>0.77540106951871657</c:v>
                </c:pt>
                <c:pt idx="79">
                  <c:v>0.77005347593582885</c:v>
                </c:pt>
                <c:pt idx="80">
                  <c:v>0.75935828877005351</c:v>
                </c:pt>
                <c:pt idx="81">
                  <c:v>0.77005347593582885</c:v>
                </c:pt>
                <c:pt idx="82">
                  <c:v>0.77005347593582885</c:v>
                </c:pt>
                <c:pt idx="83">
                  <c:v>0.77005347593582885</c:v>
                </c:pt>
                <c:pt idx="84">
                  <c:v>0.77005347593582885</c:v>
                </c:pt>
                <c:pt idx="85">
                  <c:v>0.78074866310160429</c:v>
                </c:pt>
                <c:pt idx="86">
                  <c:v>0.78074866310160429</c:v>
                </c:pt>
                <c:pt idx="87">
                  <c:v>0.78074866310160429</c:v>
                </c:pt>
                <c:pt idx="88">
                  <c:v>0.79679144385026734</c:v>
                </c:pt>
                <c:pt idx="89">
                  <c:v>0.79679144385026734</c:v>
                </c:pt>
                <c:pt idx="90">
                  <c:v>0.79679144385026734</c:v>
                </c:pt>
                <c:pt idx="91">
                  <c:v>0.79144385026737973</c:v>
                </c:pt>
                <c:pt idx="92">
                  <c:v>0.80213903743315507</c:v>
                </c:pt>
                <c:pt idx="93">
                  <c:v>0.79679144385026734</c:v>
                </c:pt>
                <c:pt idx="94">
                  <c:v>0.77005347593582885</c:v>
                </c:pt>
                <c:pt idx="95">
                  <c:v>0.75401069518716579</c:v>
                </c:pt>
                <c:pt idx="96">
                  <c:v>0.77540106951871657</c:v>
                </c:pt>
                <c:pt idx="97">
                  <c:v>0.77005347593582885</c:v>
                </c:pt>
                <c:pt idx="98">
                  <c:v>0.74866310160427807</c:v>
                </c:pt>
                <c:pt idx="99">
                  <c:v>0.75935828877005351</c:v>
                </c:pt>
                <c:pt idx="100">
                  <c:v>0.77540106951871657</c:v>
                </c:pt>
                <c:pt idx="101">
                  <c:v>0.76470588235294112</c:v>
                </c:pt>
                <c:pt idx="102">
                  <c:v>0.78074866310160429</c:v>
                </c:pt>
                <c:pt idx="103">
                  <c:v>0.72192513368983957</c:v>
                </c:pt>
                <c:pt idx="104">
                  <c:v>0.76470588235294112</c:v>
                </c:pt>
                <c:pt idx="105">
                  <c:v>0.77005347593582885</c:v>
                </c:pt>
                <c:pt idx="106">
                  <c:v>0.77540106951871657</c:v>
                </c:pt>
                <c:pt idx="107">
                  <c:v>0.78074866310160429</c:v>
                </c:pt>
                <c:pt idx="108">
                  <c:v>0.78074866310160429</c:v>
                </c:pt>
                <c:pt idx="109">
                  <c:v>0.79144385026737973</c:v>
                </c:pt>
                <c:pt idx="110">
                  <c:v>0.79144385026737973</c:v>
                </c:pt>
                <c:pt idx="111">
                  <c:v>0.79144385026737973</c:v>
                </c:pt>
                <c:pt idx="112">
                  <c:v>0.79144385026737973</c:v>
                </c:pt>
                <c:pt idx="113">
                  <c:v>0.79144385026737973</c:v>
                </c:pt>
                <c:pt idx="114">
                  <c:v>0.81818181818181823</c:v>
                </c:pt>
                <c:pt idx="115">
                  <c:v>0.81283422459893051</c:v>
                </c:pt>
                <c:pt idx="116">
                  <c:v>0.76470588235294112</c:v>
                </c:pt>
                <c:pt idx="117">
                  <c:v>0.75401069518716579</c:v>
                </c:pt>
                <c:pt idx="118">
                  <c:v>0.77540106951871657</c:v>
                </c:pt>
                <c:pt idx="119">
                  <c:v>0.78609625668449201</c:v>
                </c:pt>
                <c:pt idx="120">
                  <c:v>0.77540106951871657</c:v>
                </c:pt>
                <c:pt idx="121">
                  <c:v>0.78074866310160429</c:v>
                </c:pt>
                <c:pt idx="122">
                  <c:v>0.78609625668449201</c:v>
                </c:pt>
                <c:pt idx="123">
                  <c:v>0.75401069518716579</c:v>
                </c:pt>
                <c:pt idx="124">
                  <c:v>0.78074866310160429</c:v>
                </c:pt>
                <c:pt idx="125">
                  <c:v>0.77540106951871657</c:v>
                </c:pt>
                <c:pt idx="126">
                  <c:v>0.77005347593582885</c:v>
                </c:pt>
                <c:pt idx="127">
                  <c:v>0.71122994652406413</c:v>
                </c:pt>
                <c:pt idx="128">
                  <c:v>0.60962566844919786</c:v>
                </c:pt>
                <c:pt idx="129">
                  <c:v>0.46524064171122997</c:v>
                </c:pt>
                <c:pt idx="130">
                  <c:v>0.28877005347593582</c:v>
                </c:pt>
                <c:pt idx="131">
                  <c:v>0.17112299465240641</c:v>
                </c:pt>
                <c:pt idx="132">
                  <c:v>0.12299465240641712</c:v>
                </c:pt>
                <c:pt idx="133">
                  <c:v>0.11764705882352941</c:v>
                </c:pt>
                <c:pt idx="134">
                  <c:v>0.11764705882352941</c:v>
                </c:pt>
                <c:pt idx="135">
                  <c:v>0.10160427807486631</c:v>
                </c:pt>
                <c:pt idx="136">
                  <c:v>6.9518716577540107E-2</c:v>
                </c:pt>
                <c:pt idx="137">
                  <c:v>3.7433155080213901E-2</c:v>
                </c:pt>
                <c:pt idx="138">
                  <c:v>5.3475935828877002E-3</c:v>
                </c:pt>
                <c:pt idx="139">
                  <c:v>-2.1390374331550801E-2</c:v>
                </c:pt>
                <c:pt idx="140">
                  <c:v>-3.7433155080213901E-2</c:v>
                </c:pt>
                <c:pt idx="141">
                  <c:v>-5.8823529411764705E-2</c:v>
                </c:pt>
                <c:pt idx="142">
                  <c:v>-7.4866310160427801E-2</c:v>
                </c:pt>
                <c:pt idx="143">
                  <c:v>-8.5561497326203204E-2</c:v>
                </c:pt>
                <c:pt idx="144">
                  <c:v>-9.0909090909090912E-2</c:v>
                </c:pt>
                <c:pt idx="145">
                  <c:v>-8.5561497326203204E-2</c:v>
                </c:pt>
                <c:pt idx="146">
                  <c:v>-7.4866310160427801E-2</c:v>
                </c:pt>
                <c:pt idx="147">
                  <c:v>-5.8823529411764705E-2</c:v>
                </c:pt>
                <c:pt idx="148">
                  <c:v>-3.7433155080213901E-2</c:v>
                </c:pt>
                <c:pt idx="149">
                  <c:v>-1.6042780748663103E-2</c:v>
                </c:pt>
                <c:pt idx="150">
                  <c:v>0</c:v>
                </c:pt>
                <c:pt idx="151">
                  <c:v>1.6042780748663103E-2</c:v>
                </c:pt>
                <c:pt idx="152">
                  <c:v>3.2085561497326207E-2</c:v>
                </c:pt>
                <c:pt idx="153">
                  <c:v>4.2780748663101602E-2</c:v>
                </c:pt>
                <c:pt idx="154">
                  <c:v>5.3475935828877004E-2</c:v>
                </c:pt>
                <c:pt idx="155">
                  <c:v>6.4171122994652413E-2</c:v>
                </c:pt>
                <c:pt idx="156">
                  <c:v>6.4171122994652413E-2</c:v>
                </c:pt>
                <c:pt idx="157">
                  <c:v>5.8823529411764705E-2</c:v>
                </c:pt>
                <c:pt idx="158">
                  <c:v>4.8128342245989303E-2</c:v>
                </c:pt>
                <c:pt idx="159">
                  <c:v>3.2085561497326207E-2</c:v>
                </c:pt>
                <c:pt idx="160">
                  <c:v>1.6042780748663103E-2</c:v>
                </c:pt>
                <c:pt idx="161">
                  <c:v>0</c:v>
                </c:pt>
                <c:pt idx="162">
                  <c:v>-1.06951871657754E-2</c:v>
                </c:pt>
                <c:pt idx="163">
                  <c:v>-2.1390374331550801E-2</c:v>
                </c:pt>
                <c:pt idx="164">
                  <c:v>-3.2085561497326207E-2</c:v>
                </c:pt>
                <c:pt idx="165">
                  <c:v>-3.7433155080213901E-2</c:v>
                </c:pt>
                <c:pt idx="166">
                  <c:v>-4.8128342245989303E-2</c:v>
                </c:pt>
                <c:pt idx="167">
                  <c:v>-5.3475935828877004E-2</c:v>
                </c:pt>
                <c:pt idx="168">
                  <c:v>-5.3475935828877004E-2</c:v>
                </c:pt>
                <c:pt idx="169">
                  <c:v>-4.8128342245989303E-2</c:v>
                </c:pt>
                <c:pt idx="170">
                  <c:v>-3.7433155080213901E-2</c:v>
                </c:pt>
                <c:pt idx="171">
                  <c:v>-2.1390374331550801E-2</c:v>
                </c:pt>
                <c:pt idx="172">
                  <c:v>-1.06951871657754E-2</c:v>
                </c:pt>
                <c:pt idx="173">
                  <c:v>5.3475935828877002E-3</c:v>
                </c:pt>
                <c:pt idx="174">
                  <c:v>2.1390374331550801E-2</c:v>
                </c:pt>
                <c:pt idx="175">
                  <c:v>3.2085561497326207E-2</c:v>
                </c:pt>
                <c:pt idx="176">
                  <c:v>4.2780748663101602E-2</c:v>
                </c:pt>
                <c:pt idx="177">
                  <c:v>4.8128342245989303E-2</c:v>
                </c:pt>
                <c:pt idx="178">
                  <c:v>4.8128342245989303E-2</c:v>
                </c:pt>
                <c:pt idx="179">
                  <c:v>4.2780748663101602E-2</c:v>
                </c:pt>
                <c:pt idx="180">
                  <c:v>3.2085561497326207E-2</c:v>
                </c:pt>
                <c:pt idx="181">
                  <c:v>2.1390374331550801E-2</c:v>
                </c:pt>
                <c:pt idx="182">
                  <c:v>1.06951871657754E-2</c:v>
                </c:pt>
                <c:pt idx="183">
                  <c:v>5.3475935828877002E-3</c:v>
                </c:pt>
                <c:pt idx="184">
                  <c:v>0</c:v>
                </c:pt>
                <c:pt idx="185">
                  <c:v>-5.3475935828877002E-3</c:v>
                </c:pt>
                <c:pt idx="186">
                  <c:v>-5.3475935828877002E-3</c:v>
                </c:pt>
                <c:pt idx="187">
                  <c:v>-5.3475935828877002E-3</c:v>
                </c:pt>
                <c:pt idx="188">
                  <c:v>-1.06951871657754E-2</c:v>
                </c:pt>
                <c:pt idx="189">
                  <c:v>-1.06951871657754E-2</c:v>
                </c:pt>
                <c:pt idx="190">
                  <c:v>-1.06951871657754E-2</c:v>
                </c:pt>
                <c:pt idx="191">
                  <c:v>-1.06951871657754E-2</c:v>
                </c:pt>
                <c:pt idx="192">
                  <c:v>-1.06951871657754E-2</c:v>
                </c:pt>
                <c:pt idx="193">
                  <c:v>-1.06951871657754E-2</c:v>
                </c:pt>
                <c:pt idx="194">
                  <c:v>-1.06951871657754E-2</c:v>
                </c:pt>
                <c:pt idx="195">
                  <c:v>-1.06951871657754E-2</c:v>
                </c:pt>
                <c:pt idx="196">
                  <c:v>-1.06951871657754E-2</c:v>
                </c:pt>
                <c:pt idx="197">
                  <c:v>-1.06951871657754E-2</c:v>
                </c:pt>
                <c:pt idx="198">
                  <c:v>-1.06951871657754E-2</c:v>
                </c:pt>
                <c:pt idx="199">
                  <c:v>-1.06951871657754E-2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F3-4749-B433-99EFB690A6C4}"/>
            </c:ext>
          </c:extLst>
        </c:ser>
        <c:ser>
          <c:idx val="11"/>
          <c:order val="12"/>
          <c:tx>
            <c:strRef>
              <c:f>Data!$AS$1</c:f>
              <c:strCache>
                <c:ptCount val="1"/>
                <c:pt idx="0">
                  <c:v>Catch-up (100ms)</c:v>
                </c:pt>
              </c:strCache>
            </c:strRef>
          </c:tx>
          <c:spPr>
            <a:ln w="25400" cap="rnd">
              <a:solidFill>
                <a:srgbClr val="92028B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Data!$AS$2:$AS$231</c:f>
              <c:numCache>
                <c:formatCode>0.000</c:formatCode>
                <c:ptCount val="230"/>
                <c:pt idx="0">
                  <c:v>6.7727734507280731E-3</c:v>
                </c:pt>
                <c:pt idx="1">
                  <c:v>3.3863867253640365E-2</c:v>
                </c:pt>
                <c:pt idx="2">
                  <c:v>0.11175076193701321</c:v>
                </c:pt>
                <c:pt idx="3">
                  <c:v>0.23366068405011853</c:v>
                </c:pt>
                <c:pt idx="4">
                  <c:v>0.37927531324077207</c:v>
                </c:pt>
                <c:pt idx="5">
                  <c:v>0.48086691500169315</c:v>
                </c:pt>
                <c:pt idx="6">
                  <c:v>0.54859464950897385</c:v>
                </c:pt>
                <c:pt idx="7">
                  <c:v>0.58584490348797835</c:v>
                </c:pt>
                <c:pt idx="8">
                  <c:v>0.61632238401625461</c:v>
                </c:pt>
                <c:pt idx="9">
                  <c:v>0.58923129021334231</c:v>
                </c:pt>
                <c:pt idx="10">
                  <c:v>0.63325431764307483</c:v>
                </c:pt>
                <c:pt idx="11">
                  <c:v>0.63325431764307483</c:v>
                </c:pt>
                <c:pt idx="12">
                  <c:v>0.6264815441923467</c:v>
                </c:pt>
                <c:pt idx="13">
                  <c:v>0.62309515746698274</c:v>
                </c:pt>
                <c:pt idx="14">
                  <c:v>0.62309515746698274</c:v>
                </c:pt>
                <c:pt idx="15">
                  <c:v>0.61970877074161868</c:v>
                </c:pt>
                <c:pt idx="16">
                  <c:v>0.61632238401625461</c:v>
                </c:pt>
                <c:pt idx="17">
                  <c:v>0.60616322384016252</c:v>
                </c:pt>
                <c:pt idx="18">
                  <c:v>0.60277683711479846</c:v>
                </c:pt>
                <c:pt idx="19">
                  <c:v>0.5993904503894345</c:v>
                </c:pt>
                <c:pt idx="20">
                  <c:v>0.59600406366407044</c:v>
                </c:pt>
                <c:pt idx="21">
                  <c:v>0.59600406366407044</c:v>
                </c:pt>
                <c:pt idx="22">
                  <c:v>0.58923129021334231</c:v>
                </c:pt>
                <c:pt idx="23">
                  <c:v>0.58584490348797835</c:v>
                </c:pt>
                <c:pt idx="24">
                  <c:v>0.57907213003725022</c:v>
                </c:pt>
                <c:pt idx="25">
                  <c:v>0.57568574331188616</c:v>
                </c:pt>
                <c:pt idx="26">
                  <c:v>0.5722993565865222</c:v>
                </c:pt>
                <c:pt idx="27">
                  <c:v>0.56552658313579407</c:v>
                </c:pt>
                <c:pt idx="28">
                  <c:v>0.55875380968506605</c:v>
                </c:pt>
                <c:pt idx="29">
                  <c:v>0.54182187605824583</c:v>
                </c:pt>
                <c:pt idx="30">
                  <c:v>0.53166271588215375</c:v>
                </c:pt>
                <c:pt idx="31">
                  <c:v>0.54182187605824583</c:v>
                </c:pt>
                <c:pt idx="32">
                  <c:v>0.4944124619031493</c:v>
                </c:pt>
                <c:pt idx="33">
                  <c:v>0.50795800880460551</c:v>
                </c:pt>
                <c:pt idx="34">
                  <c:v>0.50118523535387738</c:v>
                </c:pt>
                <c:pt idx="35">
                  <c:v>0.48425330172705722</c:v>
                </c:pt>
                <c:pt idx="36">
                  <c:v>0.50457162207924144</c:v>
                </c:pt>
                <c:pt idx="37">
                  <c:v>0.49779884862851337</c:v>
                </c:pt>
                <c:pt idx="38">
                  <c:v>0.51473078225533353</c:v>
                </c:pt>
                <c:pt idx="39">
                  <c:v>0.50118523535387738</c:v>
                </c:pt>
                <c:pt idx="40">
                  <c:v>0.49779884862851337</c:v>
                </c:pt>
                <c:pt idx="41">
                  <c:v>0.49102607517778529</c:v>
                </c:pt>
                <c:pt idx="42">
                  <c:v>0.49779884862851337</c:v>
                </c:pt>
                <c:pt idx="43">
                  <c:v>0.4944124619031493</c:v>
                </c:pt>
                <c:pt idx="44">
                  <c:v>0.51473078225533353</c:v>
                </c:pt>
                <c:pt idx="45">
                  <c:v>0.49102607517778529</c:v>
                </c:pt>
                <c:pt idx="46">
                  <c:v>0.48086691500169315</c:v>
                </c:pt>
                <c:pt idx="47">
                  <c:v>0.4944124619031493</c:v>
                </c:pt>
                <c:pt idx="48">
                  <c:v>0.4944124619031493</c:v>
                </c:pt>
                <c:pt idx="49">
                  <c:v>0.4944124619031493</c:v>
                </c:pt>
                <c:pt idx="50">
                  <c:v>0.49102607517778529</c:v>
                </c:pt>
                <c:pt idx="51">
                  <c:v>0.49102607517778529</c:v>
                </c:pt>
                <c:pt idx="52">
                  <c:v>0.49102607517778529</c:v>
                </c:pt>
                <c:pt idx="53">
                  <c:v>0.49779884862851337</c:v>
                </c:pt>
                <c:pt idx="54">
                  <c:v>0.50118523535387738</c:v>
                </c:pt>
                <c:pt idx="55">
                  <c:v>0.49779884862851337</c:v>
                </c:pt>
                <c:pt idx="56">
                  <c:v>0.4944124619031493</c:v>
                </c:pt>
                <c:pt idx="57">
                  <c:v>0.49779884862851337</c:v>
                </c:pt>
                <c:pt idx="58">
                  <c:v>0.49779884862851337</c:v>
                </c:pt>
                <c:pt idx="59">
                  <c:v>0.49779884862851337</c:v>
                </c:pt>
                <c:pt idx="60">
                  <c:v>0.49779884862851337</c:v>
                </c:pt>
                <c:pt idx="61">
                  <c:v>0.4944124619031493</c:v>
                </c:pt>
                <c:pt idx="62">
                  <c:v>0.4944124619031493</c:v>
                </c:pt>
                <c:pt idx="63">
                  <c:v>0.49779884862851337</c:v>
                </c:pt>
                <c:pt idx="64">
                  <c:v>0.50457162207924144</c:v>
                </c:pt>
                <c:pt idx="65">
                  <c:v>0.50457162207924144</c:v>
                </c:pt>
                <c:pt idx="66">
                  <c:v>0.50457162207924144</c:v>
                </c:pt>
                <c:pt idx="67">
                  <c:v>0.50118523535387738</c:v>
                </c:pt>
                <c:pt idx="68">
                  <c:v>0.48425330172705722</c:v>
                </c:pt>
                <c:pt idx="69">
                  <c:v>0.49779884862851337</c:v>
                </c:pt>
                <c:pt idx="70">
                  <c:v>0.50118523535387738</c:v>
                </c:pt>
                <c:pt idx="71">
                  <c:v>0.48086691500169315</c:v>
                </c:pt>
                <c:pt idx="72">
                  <c:v>0.49102607517778529</c:v>
                </c:pt>
                <c:pt idx="73">
                  <c:v>0.48763968845242123</c:v>
                </c:pt>
                <c:pt idx="74">
                  <c:v>0.48763968845242123</c:v>
                </c:pt>
                <c:pt idx="75">
                  <c:v>0.48425330172705722</c:v>
                </c:pt>
                <c:pt idx="76">
                  <c:v>0.48763968845242123</c:v>
                </c:pt>
                <c:pt idx="77">
                  <c:v>0.48763968845242123</c:v>
                </c:pt>
                <c:pt idx="78">
                  <c:v>0.49102607517778529</c:v>
                </c:pt>
                <c:pt idx="79">
                  <c:v>0.48763968845242123</c:v>
                </c:pt>
                <c:pt idx="80">
                  <c:v>0.48086691500169315</c:v>
                </c:pt>
                <c:pt idx="81">
                  <c:v>0.48763968845242123</c:v>
                </c:pt>
                <c:pt idx="82">
                  <c:v>0.48763968845242123</c:v>
                </c:pt>
                <c:pt idx="83">
                  <c:v>0.48763968845242123</c:v>
                </c:pt>
                <c:pt idx="84">
                  <c:v>0.48763968845242123</c:v>
                </c:pt>
                <c:pt idx="85">
                  <c:v>0.4944124619031493</c:v>
                </c:pt>
                <c:pt idx="86">
                  <c:v>0.4944124619031493</c:v>
                </c:pt>
                <c:pt idx="87">
                  <c:v>0.4944124619031493</c:v>
                </c:pt>
                <c:pt idx="88">
                  <c:v>0.50457162207924144</c:v>
                </c:pt>
                <c:pt idx="89">
                  <c:v>0.50457162207924144</c:v>
                </c:pt>
                <c:pt idx="90">
                  <c:v>0.50457162207924144</c:v>
                </c:pt>
                <c:pt idx="91">
                  <c:v>0.50118523535387738</c:v>
                </c:pt>
                <c:pt idx="92">
                  <c:v>0.50795800880460551</c:v>
                </c:pt>
                <c:pt idx="93">
                  <c:v>0.50457162207924144</c:v>
                </c:pt>
                <c:pt idx="94">
                  <c:v>0.48763968845242123</c:v>
                </c:pt>
                <c:pt idx="95">
                  <c:v>0.47748052827632914</c:v>
                </c:pt>
                <c:pt idx="96">
                  <c:v>0.49102607517778529</c:v>
                </c:pt>
                <c:pt idx="97">
                  <c:v>0.48763968845242123</c:v>
                </c:pt>
                <c:pt idx="98">
                  <c:v>0.47409414155096508</c:v>
                </c:pt>
                <c:pt idx="99">
                  <c:v>0.48086691500169315</c:v>
                </c:pt>
                <c:pt idx="100">
                  <c:v>0.49102607517778529</c:v>
                </c:pt>
                <c:pt idx="101">
                  <c:v>0.48425330172705722</c:v>
                </c:pt>
                <c:pt idx="102">
                  <c:v>0.4944124619031493</c:v>
                </c:pt>
                <c:pt idx="103">
                  <c:v>0.45716220792414491</c:v>
                </c:pt>
                <c:pt idx="104">
                  <c:v>0.48425330172705722</c:v>
                </c:pt>
                <c:pt idx="105">
                  <c:v>0.48763968845242123</c:v>
                </c:pt>
                <c:pt idx="106">
                  <c:v>0.49102607517778529</c:v>
                </c:pt>
                <c:pt idx="107">
                  <c:v>0.4944124619031493</c:v>
                </c:pt>
                <c:pt idx="108">
                  <c:v>0.4944124619031493</c:v>
                </c:pt>
                <c:pt idx="109">
                  <c:v>0.50118523535387738</c:v>
                </c:pt>
                <c:pt idx="110">
                  <c:v>0.50118523535387738</c:v>
                </c:pt>
                <c:pt idx="111">
                  <c:v>0.50118523535387738</c:v>
                </c:pt>
                <c:pt idx="112">
                  <c:v>0.50118523535387738</c:v>
                </c:pt>
                <c:pt idx="113">
                  <c:v>0.50118523535387738</c:v>
                </c:pt>
                <c:pt idx="114">
                  <c:v>0.5181171689806976</c:v>
                </c:pt>
                <c:pt idx="115">
                  <c:v>0.51473078225533353</c:v>
                </c:pt>
                <c:pt idx="116">
                  <c:v>0.48425330172705722</c:v>
                </c:pt>
                <c:pt idx="117">
                  <c:v>0.47748052827632914</c:v>
                </c:pt>
                <c:pt idx="118">
                  <c:v>0.49102607517778529</c:v>
                </c:pt>
                <c:pt idx="119">
                  <c:v>0.49779884862851337</c:v>
                </c:pt>
                <c:pt idx="120">
                  <c:v>0.49102607517778529</c:v>
                </c:pt>
                <c:pt idx="121">
                  <c:v>0.4944124619031493</c:v>
                </c:pt>
                <c:pt idx="122">
                  <c:v>0.49779884862851337</c:v>
                </c:pt>
                <c:pt idx="123">
                  <c:v>0.47748052827632914</c:v>
                </c:pt>
                <c:pt idx="124">
                  <c:v>0.4944124619031493</c:v>
                </c:pt>
                <c:pt idx="125">
                  <c:v>0.49102607517778529</c:v>
                </c:pt>
                <c:pt idx="126">
                  <c:v>0.48763968845242123</c:v>
                </c:pt>
                <c:pt idx="127">
                  <c:v>0.45038943447341684</c:v>
                </c:pt>
                <c:pt idx="128">
                  <c:v>0.38604808669150015</c:v>
                </c:pt>
                <c:pt idx="129">
                  <c:v>0.29461564510667115</c:v>
                </c:pt>
                <c:pt idx="130">
                  <c:v>0.18286488316965796</c:v>
                </c:pt>
                <c:pt idx="131">
                  <c:v>0.10836437521164917</c:v>
                </c:pt>
                <c:pt idx="132">
                  <c:v>7.7886894683372843E-2</c:v>
                </c:pt>
                <c:pt idx="133">
                  <c:v>7.4500507958008805E-2</c:v>
                </c:pt>
                <c:pt idx="134">
                  <c:v>7.4500507958008805E-2</c:v>
                </c:pt>
                <c:pt idx="135">
                  <c:v>6.4341347781916691E-2</c:v>
                </c:pt>
                <c:pt idx="136">
                  <c:v>4.4023027429732471E-2</c:v>
                </c:pt>
                <c:pt idx="137">
                  <c:v>2.3704707077548254E-2</c:v>
                </c:pt>
                <c:pt idx="138">
                  <c:v>3.3863867253640365E-3</c:v>
                </c:pt>
                <c:pt idx="139">
                  <c:v>-1.3545546901456146E-2</c:v>
                </c:pt>
                <c:pt idx="140">
                  <c:v>-2.3704707077548254E-2</c:v>
                </c:pt>
                <c:pt idx="141">
                  <c:v>-3.7250253979004402E-2</c:v>
                </c:pt>
                <c:pt idx="142">
                  <c:v>-4.7409414155096509E-2</c:v>
                </c:pt>
                <c:pt idx="143">
                  <c:v>-5.4182187605824585E-2</c:v>
                </c:pt>
                <c:pt idx="144">
                  <c:v>-5.7568574331188622E-2</c:v>
                </c:pt>
                <c:pt idx="145">
                  <c:v>-5.4182187605824585E-2</c:v>
                </c:pt>
                <c:pt idx="146">
                  <c:v>-4.7409414155096509E-2</c:v>
                </c:pt>
                <c:pt idx="147">
                  <c:v>-3.7250253979004402E-2</c:v>
                </c:pt>
                <c:pt idx="148">
                  <c:v>-2.3704707077548254E-2</c:v>
                </c:pt>
                <c:pt idx="149">
                  <c:v>-1.015916017609211E-2</c:v>
                </c:pt>
                <c:pt idx="150">
                  <c:v>0</c:v>
                </c:pt>
                <c:pt idx="151">
                  <c:v>1.015916017609211E-2</c:v>
                </c:pt>
                <c:pt idx="152">
                  <c:v>2.031832035218422E-2</c:v>
                </c:pt>
                <c:pt idx="153">
                  <c:v>2.7091093802912292E-2</c:v>
                </c:pt>
                <c:pt idx="154">
                  <c:v>3.3863867253640365E-2</c:v>
                </c:pt>
                <c:pt idx="155">
                  <c:v>4.063664070436844E-2</c:v>
                </c:pt>
                <c:pt idx="156">
                  <c:v>4.063664070436844E-2</c:v>
                </c:pt>
                <c:pt idx="157">
                  <c:v>3.7250253979004402E-2</c:v>
                </c:pt>
                <c:pt idx="158">
                  <c:v>3.0477480528276327E-2</c:v>
                </c:pt>
                <c:pt idx="159">
                  <c:v>2.031832035218422E-2</c:v>
                </c:pt>
                <c:pt idx="160">
                  <c:v>1.015916017609211E-2</c:v>
                </c:pt>
                <c:pt idx="161">
                  <c:v>0</c:v>
                </c:pt>
                <c:pt idx="162">
                  <c:v>-6.7727734507280731E-3</c:v>
                </c:pt>
                <c:pt idx="163">
                  <c:v>-1.3545546901456146E-2</c:v>
                </c:pt>
                <c:pt idx="164">
                  <c:v>-2.031832035218422E-2</c:v>
                </c:pt>
                <c:pt idx="165">
                  <c:v>-2.3704707077548254E-2</c:v>
                </c:pt>
                <c:pt idx="166">
                  <c:v>-3.0477480528276327E-2</c:v>
                </c:pt>
                <c:pt idx="167">
                  <c:v>-3.3863867253640365E-2</c:v>
                </c:pt>
                <c:pt idx="168">
                  <c:v>-3.3863867253640365E-2</c:v>
                </c:pt>
                <c:pt idx="169">
                  <c:v>-3.0477480528276327E-2</c:v>
                </c:pt>
                <c:pt idx="170">
                  <c:v>-2.3704707077548254E-2</c:v>
                </c:pt>
                <c:pt idx="171">
                  <c:v>-1.3545546901456146E-2</c:v>
                </c:pt>
                <c:pt idx="172">
                  <c:v>-6.7727734507280731E-3</c:v>
                </c:pt>
                <c:pt idx="173">
                  <c:v>3.3863867253640365E-3</c:v>
                </c:pt>
                <c:pt idx="174">
                  <c:v>1.3545546901456146E-2</c:v>
                </c:pt>
                <c:pt idx="175">
                  <c:v>2.031832035218422E-2</c:v>
                </c:pt>
                <c:pt idx="176">
                  <c:v>2.7091093802912292E-2</c:v>
                </c:pt>
                <c:pt idx="177">
                  <c:v>3.0477480528276327E-2</c:v>
                </c:pt>
                <c:pt idx="178">
                  <c:v>3.0477480528276327E-2</c:v>
                </c:pt>
                <c:pt idx="179">
                  <c:v>2.7091093802912292E-2</c:v>
                </c:pt>
                <c:pt idx="180">
                  <c:v>2.031832035218422E-2</c:v>
                </c:pt>
                <c:pt idx="181">
                  <c:v>1.3545546901456146E-2</c:v>
                </c:pt>
                <c:pt idx="182">
                  <c:v>6.7727734507280731E-3</c:v>
                </c:pt>
                <c:pt idx="183">
                  <c:v>3.3863867253640365E-3</c:v>
                </c:pt>
                <c:pt idx="184">
                  <c:v>0</c:v>
                </c:pt>
                <c:pt idx="185">
                  <c:v>-3.3863867253640365E-3</c:v>
                </c:pt>
                <c:pt idx="186">
                  <c:v>-3.3863867253640365E-3</c:v>
                </c:pt>
                <c:pt idx="187">
                  <c:v>-3.3863867253640365E-3</c:v>
                </c:pt>
                <c:pt idx="188">
                  <c:v>-6.7727734507280731E-3</c:v>
                </c:pt>
                <c:pt idx="189">
                  <c:v>-6.7727734507280731E-3</c:v>
                </c:pt>
                <c:pt idx="190">
                  <c:v>-6.7727734507280731E-3</c:v>
                </c:pt>
                <c:pt idx="191">
                  <c:v>-6.7727734507280731E-3</c:v>
                </c:pt>
                <c:pt idx="192">
                  <c:v>-6.7727734507280731E-3</c:v>
                </c:pt>
                <c:pt idx="193">
                  <c:v>-6.7727734507280731E-3</c:v>
                </c:pt>
                <c:pt idx="194">
                  <c:v>-6.7727734507280731E-3</c:v>
                </c:pt>
                <c:pt idx="195">
                  <c:v>-6.7727734507280731E-3</c:v>
                </c:pt>
                <c:pt idx="196">
                  <c:v>-6.7727734507280731E-3</c:v>
                </c:pt>
                <c:pt idx="197">
                  <c:v>-6.7727734507280731E-3</c:v>
                </c:pt>
                <c:pt idx="198">
                  <c:v>-6.7727734507280731E-3</c:v>
                </c:pt>
                <c:pt idx="199">
                  <c:v>-6.7727734507280731E-3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E-40CD-927D-00131C8B7600}"/>
            </c:ext>
          </c:extLst>
        </c:ser>
        <c:ser>
          <c:idx val="12"/>
          <c:order val="13"/>
          <c:tx>
            <c:strRef>
              <c:f>Data!$AT$1</c:f>
              <c:strCache>
                <c:ptCount val="1"/>
                <c:pt idx="0">
                  <c:v>Err Speed Avg</c:v>
                </c:pt>
              </c:strCache>
            </c:strRef>
          </c:tx>
          <c:spPr>
            <a:ln w="2222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Data!$S$2:$S$231</c:f>
              <c:numCache>
                <c:formatCode>#,##0</c:formatCode>
                <c:ptCount val="230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Data!$AT$2:$AT$231</c:f>
              <c:numCache>
                <c:formatCode>0.000</c:formatCode>
                <c:ptCount val="230"/>
                <c:pt idx="0">
                  <c:v>0</c:v>
                </c:pt>
                <c:pt idx="1">
                  <c:v>0.24982824308288054</c:v>
                </c:pt>
                <c:pt idx="2">
                  <c:v>0.62842737542152072</c:v>
                </c:pt>
                <c:pt idx="3">
                  <c:v>1.0113745369666807</c:v>
                </c:pt>
                <c:pt idx="4">
                  <c:v>1.2768977148649021</c:v>
                </c:pt>
                <c:pt idx="5">
                  <c:v>1.6248448269038722</c:v>
                </c:pt>
                <c:pt idx="6">
                  <c:v>1.7644201460409974</c:v>
                </c:pt>
                <c:pt idx="7">
                  <c:v>1.6213351081936616</c:v>
                </c:pt>
                <c:pt idx="8">
                  <c:v>1.3037229273951618</c:v>
                </c:pt>
                <c:pt idx="9">
                  <c:v>0.74206668524315966</c:v>
                </c:pt>
                <c:pt idx="10">
                  <c:v>0.55067063293443996</c:v>
                </c:pt>
                <c:pt idx="11">
                  <c:v>0.3111640165641627</c:v>
                </c:pt>
                <c:pt idx="12">
                  <c:v>0.14552585387416189</c:v>
                </c:pt>
                <c:pt idx="13">
                  <c:v>1.5450274657611045E-2</c:v>
                </c:pt>
                <c:pt idx="14">
                  <c:v>0.10930843151805572</c:v>
                </c:pt>
                <c:pt idx="15">
                  <c:v>-6.3715735863953252E-2</c:v>
                </c:pt>
                <c:pt idx="16">
                  <c:v>-7.9725982421750247E-2</c:v>
                </c:pt>
                <c:pt idx="17">
                  <c:v>-9.4499345100093141E-2</c:v>
                </c:pt>
                <c:pt idx="18">
                  <c:v>-9.4073173213114494E-2</c:v>
                </c:pt>
                <c:pt idx="19">
                  <c:v>-0.10894306168895093</c:v>
                </c:pt>
                <c:pt idx="20">
                  <c:v>-0.10849431105986682</c:v>
                </c:pt>
                <c:pt idx="21">
                  <c:v>-9.2484064502069821E-2</c:v>
                </c:pt>
                <c:pt idx="22">
                  <c:v>-7.9664046853541781E-2</c:v>
                </c:pt>
                <c:pt idx="23">
                  <c:v>-8.1165275150901328E-2</c:v>
                </c:pt>
                <c:pt idx="24">
                  <c:v>-9.7452887843471253E-2</c:v>
                </c:pt>
                <c:pt idx="25">
                  <c:v>-9.833613078698164E-2</c:v>
                </c:pt>
                <c:pt idx="26">
                  <c:v>-0.11549467574236942</c:v>
                </c:pt>
                <c:pt idx="27">
                  <c:v>-0.11606712784179596</c:v>
                </c:pt>
                <c:pt idx="28">
                  <c:v>-0.12830155120549022</c:v>
                </c:pt>
                <c:pt idx="29">
                  <c:v>-0.17107027166789637</c:v>
                </c:pt>
                <c:pt idx="30">
                  <c:v>-0.19528391082171703</c:v>
                </c:pt>
                <c:pt idx="31">
                  <c:v>-0.13373681811164997</c:v>
                </c:pt>
                <c:pt idx="32">
                  <c:v>-0.26044005932066244</c:v>
                </c:pt>
                <c:pt idx="33">
                  <c:v>-0.18309795151180086</c:v>
                </c:pt>
                <c:pt idx="34">
                  <c:v>-0.13624998604129163</c:v>
                </c:pt>
                <c:pt idx="35">
                  <c:v>-0.15754292742309622</c:v>
                </c:pt>
                <c:pt idx="36">
                  <c:v>-0.11169234147345948</c:v>
                </c:pt>
                <c:pt idx="37">
                  <c:v>2.1176427312055608E-2</c:v>
                </c:pt>
                <c:pt idx="38">
                  <c:v>5.4998154379977036E-2</c:v>
                </c:pt>
                <c:pt idx="39">
                  <c:v>2.3040177051976585E-2</c:v>
                </c:pt>
                <c:pt idx="40">
                  <c:v>7.2199668707607356E-2</c:v>
                </c:pt>
                <c:pt idx="41">
                  <c:v>-4.5801819244348875E-2</c:v>
                </c:pt>
                <c:pt idx="42">
                  <c:v>1.2063064882041095E-2</c:v>
                </c:pt>
                <c:pt idx="43">
                  <c:v>-8.5017728652005797E-2</c:v>
                </c:pt>
                <c:pt idx="44">
                  <c:v>7.6855080378332524E-2</c:v>
                </c:pt>
                <c:pt idx="45">
                  <c:v>-1.0791131676389065E-2</c:v>
                </c:pt>
                <c:pt idx="46">
                  <c:v>-2.4707021385403323E-2</c:v>
                </c:pt>
                <c:pt idx="47">
                  <c:v>3.8061824326275475E-3</c:v>
                </c:pt>
                <c:pt idx="48">
                  <c:v>1.8677176558584911E-2</c:v>
                </c:pt>
                <c:pt idx="49">
                  <c:v>-8.4159398983449693E-2</c:v>
                </c:pt>
                <c:pt idx="50">
                  <c:v>3.0634824946635802E-3</c:v>
                </c:pt>
                <c:pt idx="51">
                  <c:v>4.4741726451317999E-2</c:v>
                </c:pt>
                <c:pt idx="52">
                  <c:v>-1.367801942278762E-2</c:v>
                </c:pt>
                <c:pt idx="53">
                  <c:v>1.6070604703346487E-2</c:v>
                </c:pt>
                <c:pt idx="54">
                  <c:v>3.1424512272822974E-2</c:v>
                </c:pt>
                <c:pt idx="55">
                  <c:v>2.9563723522197473E-2</c:v>
                </c:pt>
                <c:pt idx="56">
                  <c:v>1.4358067017977923E-2</c:v>
                </c:pt>
                <c:pt idx="57">
                  <c:v>2.9050985031495325E-2</c:v>
                </c:pt>
                <c:pt idx="58">
                  <c:v>-6.9763909463878564E-4</c:v>
                </c:pt>
                <c:pt idx="59">
                  <c:v>-1.605154666411527E-2</c:v>
                </c:pt>
                <c:pt idx="60">
                  <c:v>-5.1273849070214981E-4</c:v>
                </c:pt>
                <c:pt idx="61">
                  <c:v>8.9791180576464786E-4</c:v>
                </c:pt>
                <c:pt idx="62">
                  <c:v>-1.3795006207752749E-2</c:v>
                </c:pt>
                <c:pt idx="63">
                  <c:v>2.3909666222131088E-4</c:v>
                </c:pt>
                <c:pt idx="64">
                  <c:v>2.8521639262801046E-2</c:v>
                </c:pt>
                <c:pt idx="65">
                  <c:v>2.8521639262801046E-2</c:v>
                </c:pt>
                <c:pt idx="66">
                  <c:v>4.231664547055379E-2</c:v>
                </c:pt>
                <c:pt idx="67">
                  <c:v>2.870564778442336E-2</c:v>
                </c:pt>
                <c:pt idx="68">
                  <c:v>-4.8856820500708623E-2</c:v>
                </c:pt>
                <c:pt idx="69">
                  <c:v>-2.2721296303111448E-2</c:v>
                </c:pt>
                <c:pt idx="70">
                  <c:v>-8.5509689685500552E-3</c:v>
                </c:pt>
                <c:pt idx="71">
                  <c:v>-7.6966020279838676E-2</c:v>
                </c:pt>
                <c:pt idx="72">
                  <c:v>-2.1676778637053494E-2</c:v>
                </c:pt>
                <c:pt idx="73">
                  <c:v>2.8161395799940425E-2</c:v>
                </c:pt>
                <c:pt idx="74">
                  <c:v>-2.6256670998236486E-2</c:v>
                </c:pt>
                <c:pt idx="75">
                  <c:v>-5.3882326642808606E-2</c:v>
                </c:pt>
                <c:pt idx="76">
                  <c:v>2.8899508663882589E-2</c:v>
                </c:pt>
                <c:pt idx="77">
                  <c:v>-1.2778735292772157E-2</c:v>
                </c:pt>
                <c:pt idx="78">
                  <c:v>1.5212492510561773E-2</c:v>
                </c:pt>
                <c:pt idx="79">
                  <c:v>1.433643044492286E-3</c:v>
                </c:pt>
                <c:pt idx="80">
                  <c:v>-1.2455846802456367E-2</c:v>
                </c:pt>
                <c:pt idx="81">
                  <c:v>-4.1108433801892805E-3</c:v>
                </c:pt>
                <c:pt idx="82">
                  <c:v>-4.1108433801892805E-3</c:v>
                </c:pt>
                <c:pt idx="83">
                  <c:v>-1.8411880205359207E-2</c:v>
                </c:pt>
                <c:pt idx="84">
                  <c:v>-4.6330307392897204E-3</c:v>
                </c:pt>
                <c:pt idx="85">
                  <c:v>4.8549911569856233E-2</c:v>
                </c:pt>
                <c:pt idx="86">
                  <c:v>2.5838124152186559E-2</c:v>
                </c:pt>
                <c:pt idx="87">
                  <c:v>2.5838124152186559E-2</c:v>
                </c:pt>
                <c:pt idx="88">
                  <c:v>7.0974662179720219E-2</c:v>
                </c:pt>
                <c:pt idx="89">
                  <c:v>7.0974662179720219E-2</c:v>
                </c:pt>
                <c:pt idx="90">
                  <c:v>4.5136538027533653E-2</c:v>
                </c:pt>
                <c:pt idx="91">
                  <c:v>2.9807343576702072E-2</c:v>
                </c:pt>
                <c:pt idx="92">
                  <c:v>6.0522232619165617E-2</c:v>
                </c:pt>
                <c:pt idx="93">
                  <c:v>2.2154264682956726E-4</c:v>
                </c:pt>
                <c:pt idx="94">
                  <c:v>-6.7745561274872496E-2</c:v>
                </c:pt>
                <c:pt idx="95">
                  <c:v>-0.10399057758513013</c:v>
                </c:pt>
                <c:pt idx="96">
                  <c:v>-3.6064407460399919E-2</c:v>
                </c:pt>
                <c:pt idx="97">
                  <c:v>-8.1097738656357096E-2</c:v>
                </c:pt>
                <c:pt idx="98">
                  <c:v>-0.1153926284426213</c:v>
                </c:pt>
                <c:pt idx="99">
                  <c:v>-2.131415954931528E-2</c:v>
                </c:pt>
                <c:pt idx="100">
                  <c:v>5.703907488151215E-2</c:v>
                </c:pt>
                <c:pt idx="101">
                  <c:v>-2.5004308330666674E-2</c:v>
                </c:pt>
                <c:pt idx="102">
                  <c:v>3.5108669008294506E-2</c:v>
                </c:pt>
                <c:pt idx="103">
                  <c:v>-5.0071212149256451E-2</c:v>
                </c:pt>
                <c:pt idx="104">
                  <c:v>3.079074640658579E-2</c:v>
                </c:pt>
                <c:pt idx="105">
                  <c:v>3.0163633035747346E-3</c:v>
                </c:pt>
                <c:pt idx="106">
                  <c:v>4.4943270061823831E-2</c:v>
                </c:pt>
                <c:pt idx="107">
                  <c:v>1.3205524305650562E-2</c:v>
                </c:pt>
                <c:pt idx="108">
                  <c:v>0.14784444719426812</c:v>
                </c:pt>
                <c:pt idx="109">
                  <c:v>6.9332771596237325E-2</c:v>
                </c:pt>
                <c:pt idx="110">
                  <c:v>5.4998936578678582E-2</c:v>
                </c:pt>
                <c:pt idx="111">
                  <c:v>4.2518437358709679E-2</c:v>
                </c:pt>
                <c:pt idx="112">
                  <c:v>2.8461647929415395E-2</c:v>
                </c:pt>
                <c:pt idx="113">
                  <c:v>2.8461647929415395E-2</c:v>
                </c:pt>
                <c:pt idx="114">
                  <c:v>8.2338410868670359E-2</c:v>
                </c:pt>
                <c:pt idx="115">
                  <c:v>6.562578447943343E-2</c:v>
                </c:pt>
                <c:pt idx="116">
                  <c:v>-5.2740757244773465E-2</c:v>
                </c:pt>
                <c:pt idx="117">
                  <c:v>-7.5754392823853961E-2</c:v>
                </c:pt>
                <c:pt idx="118">
                  <c:v>-1.6367561853621614E-2</c:v>
                </c:pt>
                <c:pt idx="119">
                  <c:v>-6.5940572984415399E-2</c:v>
                </c:pt>
                <c:pt idx="120">
                  <c:v>-7.9820680820800308E-2</c:v>
                </c:pt>
                <c:pt idx="121">
                  <c:v>5.3793249788059862E-2</c:v>
                </c:pt>
                <c:pt idx="122">
                  <c:v>9.1872798738138625E-2</c:v>
                </c:pt>
                <c:pt idx="123">
                  <c:v>-4.4684450238524812E-2</c:v>
                </c:pt>
                <c:pt idx="124">
                  <c:v>1.055409876008373E-3</c:v>
                </c:pt>
                <c:pt idx="125">
                  <c:v>1.6159876464365459E-2</c:v>
                </c:pt>
                <c:pt idx="126">
                  <c:v>-1.4905291604090409E-2</c:v>
                </c:pt>
                <c:pt idx="127">
                  <c:v>-0.2057462129648607</c:v>
                </c:pt>
                <c:pt idx="128">
                  <c:v>-0.43867861852624657</c:v>
                </c:pt>
                <c:pt idx="129">
                  <c:v>-0.95196648707430609</c:v>
                </c:pt>
                <c:pt idx="130">
                  <c:v>-1.5002916484478095</c:v>
                </c:pt>
                <c:pt idx="131">
                  <c:v>-1.8561582754136956</c:v>
                </c:pt>
                <c:pt idx="132">
                  <c:v>-1.8359042627582927</c:v>
                </c:pt>
                <c:pt idx="133">
                  <c:v>-1.5425940504415254</c:v>
                </c:pt>
                <c:pt idx="134">
                  <c:v>-1.1078114417458755</c:v>
                </c:pt>
                <c:pt idx="135">
                  <c:v>-0.59194048177226299</c:v>
                </c:pt>
                <c:pt idx="136">
                  <c:v>-0.30440754827334598</c:v>
                </c:pt>
                <c:pt idx="137">
                  <c:v>-0.23460696153959093</c:v>
                </c:pt>
                <c:pt idx="138">
                  <c:v>-0.3057522075360869</c:v>
                </c:pt>
                <c:pt idx="139">
                  <c:v>-0.38133799740759089</c:v>
                </c:pt>
                <c:pt idx="140">
                  <c:v>-0.37907153324254228</c:v>
                </c:pt>
                <c:pt idx="141">
                  <c:v>-0.34996719470035087</c:v>
                </c:pt>
                <c:pt idx="142">
                  <c:v>-0.30830611933516061</c:v>
                </c:pt>
                <c:pt idx="143">
                  <c:v>-0.2481518281083141</c:v>
                </c:pt>
                <c:pt idx="144">
                  <c:v>-0.18668235670095451</c:v>
                </c:pt>
                <c:pt idx="145">
                  <c:v>-0.12481988371618938</c:v>
                </c:pt>
                <c:pt idx="146">
                  <c:v>-4.0818714138916065E-2</c:v>
                </c:pt>
                <c:pt idx="147">
                  <c:v>4.5793810585869815E-2</c:v>
                </c:pt>
                <c:pt idx="148">
                  <c:v>0.13109409240209632</c:v>
                </c:pt>
                <c:pt idx="149">
                  <c:v>0.2023982012729888</c:v>
                </c:pt>
                <c:pt idx="150">
                  <c:v>0.23098117055773421</c:v>
                </c:pt>
                <c:pt idx="151">
                  <c:v>0.24456524214327691</c:v>
                </c:pt>
                <c:pt idx="152">
                  <c:v>0.24641702401093185</c:v>
                </c:pt>
                <c:pt idx="153">
                  <c:v>0.215879938594468</c:v>
                </c:pt>
                <c:pt idx="154">
                  <c:v>0.18802626376413539</c:v>
                </c:pt>
                <c:pt idx="155">
                  <c:v>0.17106356950194201</c:v>
                </c:pt>
                <c:pt idx="156">
                  <c:v>0.12852546244770599</c:v>
                </c:pt>
                <c:pt idx="157">
                  <c:v>6.9020451340594577E-2</c:v>
                </c:pt>
                <c:pt idx="158">
                  <c:v>1.2598748239611707E-2</c:v>
                </c:pt>
                <c:pt idx="159">
                  <c:v>-6.1391514999798183E-2</c:v>
                </c:pt>
                <c:pt idx="160">
                  <c:v>-0.1329236625950001</c:v>
                </c:pt>
                <c:pt idx="161">
                  <c:v>-0.17643660769616704</c:v>
                </c:pt>
                <c:pt idx="162">
                  <c:v>-0.19059986645642471</c:v>
                </c:pt>
                <c:pt idx="163">
                  <c:v>-0.19127374012812065</c:v>
                </c:pt>
                <c:pt idx="164">
                  <c:v>-0.17711237023443385</c:v>
                </c:pt>
                <c:pt idx="165">
                  <c:v>-0.14843587472854267</c:v>
                </c:pt>
                <c:pt idx="166">
                  <c:v>-0.13480936118744744</c:v>
                </c:pt>
                <c:pt idx="167">
                  <c:v>-0.12118450396085448</c:v>
                </c:pt>
                <c:pt idx="168">
                  <c:v>-9.1068557567239403E-2</c:v>
                </c:pt>
                <c:pt idx="169">
                  <c:v>-4.6192532943829689E-2</c:v>
                </c:pt>
                <c:pt idx="170">
                  <c:v>-2.2627575637358512E-3</c:v>
                </c:pt>
                <c:pt idx="171">
                  <c:v>7.1829081791221702E-2</c:v>
                </c:pt>
                <c:pt idx="172">
                  <c:v>0.11535957881154064</c:v>
                </c:pt>
                <c:pt idx="173">
                  <c:v>0.15641048193140933</c:v>
                </c:pt>
                <c:pt idx="174">
                  <c:v>0.18294297527505707</c:v>
                </c:pt>
                <c:pt idx="175">
                  <c:v>0.18395747506730004</c:v>
                </c:pt>
                <c:pt idx="176">
                  <c:v>0.16814099559037082</c:v>
                </c:pt>
                <c:pt idx="177">
                  <c:v>0.15515317811016366</c:v>
                </c:pt>
                <c:pt idx="178">
                  <c:v>0.11410227499029497</c:v>
                </c:pt>
                <c:pt idx="179">
                  <c:v>5.7856990139420875E-2</c:v>
                </c:pt>
                <c:pt idx="180">
                  <c:v>-1.6899698519798445E-3</c:v>
                </c:pt>
                <c:pt idx="181">
                  <c:v>-6.5467732992550293E-2</c:v>
                </c:pt>
                <c:pt idx="182">
                  <c:v>-0.11516063214610224</c:v>
                </c:pt>
                <c:pt idx="183">
                  <c:v>-0.13151118806500353</c:v>
                </c:pt>
                <c:pt idx="184">
                  <c:v>-0.13198617150798267</c:v>
                </c:pt>
                <c:pt idx="185">
                  <c:v>-0.11894725320620285</c:v>
                </c:pt>
                <c:pt idx="186">
                  <c:v>-8.3558418383589031E-2</c:v>
                </c:pt>
                <c:pt idx="187">
                  <c:v>-4.8769759486389661E-2</c:v>
                </c:pt>
                <c:pt idx="188">
                  <c:v>-4.8823403042553983E-2</c:v>
                </c:pt>
                <c:pt idx="189">
                  <c:v>-3.30168749464506E-2</c:v>
                </c:pt>
                <c:pt idx="190">
                  <c:v>-1.6404199475065606E-2</c:v>
                </c:pt>
                <c:pt idx="191">
                  <c:v>-1.6404199475065606E-2</c:v>
                </c:pt>
                <c:pt idx="192">
                  <c:v>-1.6404199475065606E-2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0-4E60-9232-48ED3006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279087"/>
        <c:axId val="976282927"/>
      </c:lineChart>
      <c:catAx>
        <c:axId val="9762790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(ms)</a:t>
                </a:r>
              </a:p>
            </c:rich>
          </c:tx>
          <c:layout>
            <c:manualLayout>
              <c:xMode val="edge"/>
              <c:yMode val="edge"/>
              <c:x val="0.47969556650947093"/>
              <c:y val="0.95251808399943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82927"/>
        <c:crosses val="autoZero"/>
        <c:auto val="1"/>
        <c:lblAlgn val="ctr"/>
        <c:lblOffset val="0"/>
        <c:noMultiLvlLbl val="0"/>
      </c:catAx>
      <c:valAx>
        <c:axId val="976282927"/>
        <c:scaling>
          <c:orientation val="minMax"/>
          <c:max val="2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7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249848850194539"/>
          <c:y val="0.83874564932251061"/>
          <c:w val="0.84178293819041849"/>
          <c:h val="3.4865946508752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- Kp=0.005</a:t>
            </a:r>
            <a:r>
              <a:rPr lang="en-US" baseline="0"/>
              <a:t> Ki=0.001 Kd=0.18 DerLookback=1 ErrLookback=8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531112037046923E-2"/>
          <c:y val="6.515672782874618E-2"/>
          <c:w val="0.92872715876594125"/>
          <c:h val="0.82107202196055773"/>
        </c:manualLayout>
      </c:layout>
      <c:barChart>
        <c:barDir val="col"/>
        <c:grouping val="clustered"/>
        <c:varyColors val="0"/>
        <c:ser>
          <c:idx val="5"/>
          <c:order val="6"/>
          <c:tx>
            <c:strRef>
              <c:f>Data!$AV$1</c:f>
              <c:strCache>
                <c:ptCount val="1"/>
                <c:pt idx="0">
                  <c:v>Accel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Data!$AV$130:$AV$200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6-4EE4-8614-46B83DB8F3AD}"/>
            </c:ext>
          </c:extLst>
        </c:ser>
        <c:ser>
          <c:idx val="6"/>
          <c:order val="7"/>
          <c:tx>
            <c:strRef>
              <c:f>Data!$AW$1</c:f>
              <c:strCache>
                <c:ptCount val="1"/>
                <c:pt idx="0">
                  <c:v>Cruising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Data!$AW$130:$AW$200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6-4EE4-8614-46B83DB8F3AD}"/>
            </c:ext>
          </c:extLst>
        </c:ser>
        <c:ser>
          <c:idx val="7"/>
          <c:order val="8"/>
          <c:tx>
            <c:strRef>
              <c:f>Data!$AX$1</c:f>
              <c:strCache>
                <c:ptCount val="1"/>
                <c:pt idx="0">
                  <c:v>Decel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Data!$AX$130:$AX$200</c:f>
              <c:numCache>
                <c:formatCode>General</c:formatCode>
                <c:ptCount val="71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6-4EE4-8614-46B83DB8F3AD}"/>
            </c:ext>
          </c:extLst>
        </c:ser>
        <c:ser>
          <c:idx val="8"/>
          <c:order val="9"/>
          <c:tx>
            <c:strRef>
              <c:f>Data!$AY$1</c:f>
              <c:strCache>
                <c:ptCount val="1"/>
                <c:pt idx="0">
                  <c:v>End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Data!$AY$130:$AY$200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A6-4EE4-8614-46B83DB8F3AD}"/>
            </c:ext>
          </c:extLst>
        </c:ser>
        <c:ser>
          <c:idx val="9"/>
          <c:order val="10"/>
          <c:tx>
            <c:strRef>
              <c:f>Data!$AZ$1</c:f>
              <c:strCache>
                <c:ptCount val="1"/>
                <c:pt idx="0">
                  <c:v>At Target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Data!$AZ$130:$AZ$200</c:f>
              <c:numCache>
                <c:formatCode>General</c:formatCode>
                <c:ptCount val="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A6-4EE4-8614-46B83DB8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76279087"/>
        <c:axId val="976282927"/>
      </c:barChart>
      <c:lineChart>
        <c:grouping val="standard"/>
        <c:varyColors val="0"/>
        <c:ser>
          <c:idx val="1"/>
          <c:order val="0"/>
          <c:tx>
            <c:strRef>
              <c:f>Data!$AD$1</c:f>
              <c:strCache>
                <c:ptCount val="1"/>
                <c:pt idx="0">
                  <c:v>powerP</c:v>
                </c:pt>
              </c:strCache>
            </c:strRef>
          </c:tx>
          <c:spPr>
            <a:ln w="254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Data!$AD$130:$AD$200</c:f>
              <c:numCache>
                <c:formatCode>0.000</c:formatCode>
                <c:ptCount val="71"/>
                <c:pt idx="0">
                  <c:v>0.745</c:v>
                </c:pt>
                <c:pt idx="1">
                  <c:v>0.61</c:v>
                </c:pt>
                <c:pt idx="2">
                  <c:v>0.435</c:v>
                </c:pt>
                <c:pt idx="3">
                  <c:v>0.27</c:v>
                </c:pt>
                <c:pt idx="4">
                  <c:v>0.16</c:v>
                </c:pt>
                <c:pt idx="5">
                  <c:v>0.115</c:v>
                </c:pt>
                <c:pt idx="6">
                  <c:v>0.11</c:v>
                </c:pt>
                <c:pt idx="7">
                  <c:v>0.11</c:v>
                </c:pt>
                <c:pt idx="8">
                  <c:v>9.5000000000000001E-2</c:v>
                </c:pt>
                <c:pt idx="9">
                  <c:v>6.5000000000000002E-2</c:v>
                </c:pt>
                <c:pt idx="10">
                  <c:v>3.5000000000000003E-2</c:v>
                </c:pt>
                <c:pt idx="11">
                  <c:v>5.0000000000000001E-3</c:v>
                </c:pt>
                <c:pt idx="12">
                  <c:v>-0.02</c:v>
                </c:pt>
                <c:pt idx="13">
                  <c:v>-3.5000000000000003E-2</c:v>
                </c:pt>
                <c:pt idx="14">
                  <c:v>-5.5E-2</c:v>
                </c:pt>
                <c:pt idx="15">
                  <c:v>-7.0000000000000007E-2</c:v>
                </c:pt>
                <c:pt idx="16">
                  <c:v>-0.08</c:v>
                </c:pt>
                <c:pt idx="17">
                  <c:v>-8.5000000000000006E-2</c:v>
                </c:pt>
                <c:pt idx="18">
                  <c:v>-0.08</c:v>
                </c:pt>
                <c:pt idx="19">
                  <c:v>-7.0000000000000007E-2</c:v>
                </c:pt>
                <c:pt idx="20">
                  <c:v>-5.5E-2</c:v>
                </c:pt>
                <c:pt idx="21">
                  <c:v>-3.5000000000000003E-2</c:v>
                </c:pt>
                <c:pt idx="22">
                  <c:v>-1.4999999999999999E-2</c:v>
                </c:pt>
                <c:pt idx="23">
                  <c:v>0</c:v>
                </c:pt>
                <c:pt idx="24">
                  <c:v>1.4999999999999999E-2</c:v>
                </c:pt>
                <c:pt idx="25">
                  <c:v>0.03</c:v>
                </c:pt>
                <c:pt idx="26">
                  <c:v>0.04</c:v>
                </c:pt>
                <c:pt idx="27">
                  <c:v>0.05</c:v>
                </c:pt>
                <c:pt idx="28">
                  <c:v>0.06</c:v>
                </c:pt>
                <c:pt idx="29">
                  <c:v>0.06</c:v>
                </c:pt>
                <c:pt idx="30">
                  <c:v>5.5E-2</c:v>
                </c:pt>
                <c:pt idx="31">
                  <c:v>4.4999999999999998E-2</c:v>
                </c:pt>
                <c:pt idx="32">
                  <c:v>0.03</c:v>
                </c:pt>
                <c:pt idx="33">
                  <c:v>1.4999999999999999E-2</c:v>
                </c:pt>
                <c:pt idx="34">
                  <c:v>0</c:v>
                </c:pt>
                <c:pt idx="35">
                  <c:v>-0.01</c:v>
                </c:pt>
                <c:pt idx="36">
                  <c:v>-0.02</c:v>
                </c:pt>
                <c:pt idx="37">
                  <c:v>-0.03</c:v>
                </c:pt>
                <c:pt idx="38">
                  <c:v>-3.5000000000000003E-2</c:v>
                </c:pt>
                <c:pt idx="39">
                  <c:v>-4.4999999999999998E-2</c:v>
                </c:pt>
                <c:pt idx="40">
                  <c:v>-0.05</c:v>
                </c:pt>
                <c:pt idx="41">
                  <c:v>-0.05</c:v>
                </c:pt>
                <c:pt idx="42">
                  <c:v>-4.4999999999999998E-2</c:v>
                </c:pt>
                <c:pt idx="43">
                  <c:v>-3.5000000000000003E-2</c:v>
                </c:pt>
                <c:pt idx="44">
                  <c:v>-0.02</c:v>
                </c:pt>
                <c:pt idx="45">
                  <c:v>-0.01</c:v>
                </c:pt>
                <c:pt idx="46">
                  <c:v>5.0000000000000001E-3</c:v>
                </c:pt>
                <c:pt idx="47">
                  <c:v>0.02</c:v>
                </c:pt>
                <c:pt idx="48">
                  <c:v>0.03</c:v>
                </c:pt>
                <c:pt idx="49">
                  <c:v>0.04</c:v>
                </c:pt>
                <c:pt idx="50">
                  <c:v>4.4999999999999998E-2</c:v>
                </c:pt>
                <c:pt idx="51">
                  <c:v>4.4999999999999998E-2</c:v>
                </c:pt>
                <c:pt idx="52">
                  <c:v>0.04</c:v>
                </c:pt>
                <c:pt idx="53">
                  <c:v>0.03</c:v>
                </c:pt>
                <c:pt idx="54">
                  <c:v>0.02</c:v>
                </c:pt>
                <c:pt idx="55">
                  <c:v>0.01</c:v>
                </c:pt>
                <c:pt idx="56">
                  <c:v>5.0000000000000001E-3</c:v>
                </c:pt>
                <c:pt idx="57">
                  <c:v>0</c:v>
                </c:pt>
                <c:pt idx="58">
                  <c:v>-5.0000000000000001E-3</c:v>
                </c:pt>
                <c:pt idx="59">
                  <c:v>-5.0000000000000001E-3</c:v>
                </c:pt>
                <c:pt idx="60">
                  <c:v>-5.0000000000000001E-3</c:v>
                </c:pt>
                <c:pt idx="61">
                  <c:v>-0.01</c:v>
                </c:pt>
                <c:pt idx="62">
                  <c:v>-0.01</c:v>
                </c:pt>
                <c:pt idx="63">
                  <c:v>-0.01</c:v>
                </c:pt>
                <c:pt idx="64">
                  <c:v>-0.01</c:v>
                </c:pt>
                <c:pt idx="65">
                  <c:v>-0.01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A6-4EE4-8614-46B83DB8F3AD}"/>
            </c:ext>
          </c:extLst>
        </c:ser>
        <c:ser>
          <c:idx val="13"/>
          <c:order val="1"/>
          <c:tx>
            <c:strRef>
              <c:f>Data!$AE$1</c:f>
              <c:strCache>
                <c:ptCount val="1"/>
                <c:pt idx="0">
                  <c:v>powerI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Data!$AE$130:$AE$200</c:f>
              <c:numCache>
                <c:formatCode>0.000</c:formatCode>
                <c:ptCount val="7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7.6999999999999999E-2</c:v>
                </c:pt>
                <c:pt idx="11">
                  <c:v>6.8000000000000005E-2</c:v>
                </c:pt>
                <c:pt idx="12">
                  <c:v>5.3999999999999999E-2</c:v>
                </c:pt>
                <c:pt idx="13">
                  <c:v>3.6999999999999998E-2</c:v>
                </c:pt>
                <c:pt idx="14">
                  <c:v>1.7000000000000001E-2</c:v>
                </c:pt>
                <c:pt idx="15">
                  <c:v>-3.0000000000000001E-3</c:v>
                </c:pt>
                <c:pt idx="16">
                  <c:v>-2.3E-2</c:v>
                </c:pt>
                <c:pt idx="17">
                  <c:v>-4.2999999999999997E-2</c:v>
                </c:pt>
                <c:pt idx="18">
                  <c:v>-0.06</c:v>
                </c:pt>
                <c:pt idx="19">
                  <c:v>-7.0999999999999994E-2</c:v>
                </c:pt>
                <c:pt idx="20">
                  <c:v>-7.6999999999999999E-2</c:v>
                </c:pt>
                <c:pt idx="21">
                  <c:v>-7.6999999999999999E-2</c:v>
                </c:pt>
                <c:pt idx="22">
                  <c:v>-7.0000000000000007E-2</c:v>
                </c:pt>
                <c:pt idx="23">
                  <c:v>-0.06</c:v>
                </c:pt>
                <c:pt idx="24">
                  <c:v>-4.7E-2</c:v>
                </c:pt>
                <c:pt idx="25">
                  <c:v>-3.1E-2</c:v>
                </c:pt>
                <c:pt idx="26">
                  <c:v>-1.2999999999999999E-2</c:v>
                </c:pt>
                <c:pt idx="27">
                  <c:v>7.0000000000000001E-3</c:v>
                </c:pt>
                <c:pt idx="28">
                  <c:v>2.7E-2</c:v>
                </c:pt>
                <c:pt idx="29">
                  <c:v>4.3999999999999997E-2</c:v>
                </c:pt>
                <c:pt idx="30">
                  <c:v>5.7000000000000002E-2</c:v>
                </c:pt>
                <c:pt idx="31">
                  <c:v>6.6000000000000003E-2</c:v>
                </c:pt>
                <c:pt idx="32">
                  <c:v>6.9000000000000006E-2</c:v>
                </c:pt>
                <c:pt idx="33">
                  <c:v>6.6000000000000003E-2</c:v>
                </c:pt>
                <c:pt idx="34">
                  <c:v>5.8000000000000003E-2</c:v>
                </c:pt>
                <c:pt idx="35">
                  <c:v>4.5999999999999999E-2</c:v>
                </c:pt>
                <c:pt idx="36">
                  <c:v>3.2000000000000001E-2</c:v>
                </c:pt>
                <c:pt idx="37">
                  <c:v>1.6E-2</c:v>
                </c:pt>
                <c:pt idx="38">
                  <c:v>-1E-3</c:v>
                </c:pt>
                <c:pt idx="39">
                  <c:v>-1.9E-2</c:v>
                </c:pt>
                <c:pt idx="40">
                  <c:v>-3.5000000000000003E-2</c:v>
                </c:pt>
                <c:pt idx="41">
                  <c:v>-4.8000000000000001E-2</c:v>
                </c:pt>
                <c:pt idx="42">
                  <c:v>-5.7000000000000002E-2</c:v>
                </c:pt>
                <c:pt idx="43">
                  <c:v>-6.2E-2</c:v>
                </c:pt>
                <c:pt idx="44">
                  <c:v>-6.2E-2</c:v>
                </c:pt>
                <c:pt idx="45">
                  <c:v>-5.8000000000000003E-2</c:v>
                </c:pt>
                <c:pt idx="46">
                  <c:v>-0.05</c:v>
                </c:pt>
                <c:pt idx="47">
                  <c:v>-3.6999999999999998E-2</c:v>
                </c:pt>
                <c:pt idx="48">
                  <c:v>-2.1000000000000001E-2</c:v>
                </c:pt>
                <c:pt idx="49">
                  <c:v>-3.0000000000000001E-3</c:v>
                </c:pt>
                <c:pt idx="50">
                  <c:v>1.4999999999999999E-2</c:v>
                </c:pt>
                <c:pt idx="51">
                  <c:v>3.1E-2</c:v>
                </c:pt>
                <c:pt idx="52">
                  <c:v>4.2999999999999997E-2</c:v>
                </c:pt>
                <c:pt idx="53">
                  <c:v>5.0999999999999997E-2</c:v>
                </c:pt>
                <c:pt idx="54">
                  <c:v>5.3999999999999999E-2</c:v>
                </c:pt>
                <c:pt idx="55">
                  <c:v>5.1999999999999998E-2</c:v>
                </c:pt>
                <c:pt idx="56">
                  <c:v>4.7E-2</c:v>
                </c:pt>
                <c:pt idx="57">
                  <c:v>3.9E-2</c:v>
                </c:pt>
                <c:pt idx="58">
                  <c:v>2.9000000000000001E-2</c:v>
                </c:pt>
                <c:pt idx="59">
                  <c:v>1.9E-2</c:v>
                </c:pt>
                <c:pt idx="60">
                  <c:v>0.01</c:v>
                </c:pt>
                <c:pt idx="61">
                  <c:v>2E-3</c:v>
                </c:pt>
                <c:pt idx="62">
                  <c:v>-4.0000000000000001E-3</c:v>
                </c:pt>
                <c:pt idx="63">
                  <c:v>-4.0000000000000001E-3</c:v>
                </c:pt>
                <c:pt idx="64">
                  <c:v>-4.0000000000000001E-3</c:v>
                </c:pt>
                <c:pt idx="65">
                  <c:v>-4.0000000000000001E-3</c:v>
                </c:pt>
                <c:pt idx="66">
                  <c:v>-4.0000000000000001E-3</c:v>
                </c:pt>
                <c:pt idx="67">
                  <c:v>-4.0000000000000001E-3</c:v>
                </c:pt>
                <c:pt idx="68">
                  <c:v>-4.0000000000000001E-3</c:v>
                </c:pt>
                <c:pt idx="69">
                  <c:v>-4.0000000000000001E-3</c:v>
                </c:pt>
                <c:pt idx="70">
                  <c:v>-4.0000000000000001E-3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A6-4EE4-8614-46B83DB8F3AD}"/>
            </c:ext>
          </c:extLst>
        </c:ser>
        <c:ser>
          <c:idx val="2"/>
          <c:order val="2"/>
          <c:tx>
            <c:strRef>
              <c:f>Data!$AF$1</c:f>
              <c:strCache>
                <c:ptCount val="1"/>
                <c:pt idx="0">
                  <c:v>powerD</c:v>
                </c:pt>
              </c:strCache>
            </c:strRef>
          </c:tx>
          <c:spPr>
            <a:ln w="38100" cap="rnd">
              <a:solidFill>
                <a:srgbClr val="8641EB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Data!$AF$130:$AF$200</c:f>
              <c:numCache>
                <c:formatCode>General</c:formatCode>
                <c:ptCount val="71"/>
                <c:pt idx="0">
                  <c:v>-0.29630000000000001</c:v>
                </c:pt>
                <c:pt idx="1">
                  <c:v>-0.38988</c:v>
                </c:pt>
                <c:pt idx="2">
                  <c:v>-0.52798</c:v>
                </c:pt>
                <c:pt idx="3">
                  <c:v>-0.50944999999999996</c:v>
                </c:pt>
                <c:pt idx="4">
                  <c:v>-0.34014</c:v>
                </c:pt>
                <c:pt idx="5">
                  <c:v>-0.13667000000000001</c:v>
                </c:pt>
                <c:pt idx="6">
                  <c:v>-1.553E-2</c:v>
                </c:pt>
                <c:pt idx="7">
                  <c:v>0</c:v>
                </c:pt>
                <c:pt idx="8">
                  <c:v>-3.8199999999999998E-2</c:v>
                </c:pt>
                <c:pt idx="9">
                  <c:v>-7.9229999999999995E-2</c:v>
                </c:pt>
                <c:pt idx="10">
                  <c:v>-8.2610000000000003E-2</c:v>
                </c:pt>
                <c:pt idx="11">
                  <c:v>-7.9399999999999998E-2</c:v>
                </c:pt>
                <c:pt idx="12">
                  <c:v>6.8339999999999998E-2</c:v>
                </c:pt>
                <c:pt idx="13">
                  <c:v>4.1860000000000001E-2</c:v>
                </c:pt>
                <c:pt idx="14">
                  <c:v>4.6890000000000001E-2</c:v>
                </c:pt>
                <c:pt idx="15">
                  <c:v>4.0710000000000003E-2</c:v>
                </c:pt>
                <c:pt idx="16">
                  <c:v>2.359E-2</c:v>
                </c:pt>
                <c:pt idx="17">
                  <c:v>1.4080000000000001E-2</c:v>
                </c:pt>
                <c:pt idx="18">
                  <c:v>1.372E-2</c:v>
                </c:pt>
                <c:pt idx="19">
                  <c:v>2.5250000000000002E-2</c:v>
                </c:pt>
                <c:pt idx="20">
                  <c:v>3.8159999999999999E-2</c:v>
                </c:pt>
                <c:pt idx="21">
                  <c:v>5.4940000000000003E-2</c:v>
                </c:pt>
                <c:pt idx="22">
                  <c:v>5.0619999999999998E-2</c:v>
                </c:pt>
                <c:pt idx="23">
                  <c:v>3.9539999999999999E-2</c:v>
                </c:pt>
                <c:pt idx="24">
                  <c:v>-3.8530000000000002E-2</c:v>
                </c:pt>
                <c:pt idx="25">
                  <c:v>-4.0840000000000001E-2</c:v>
                </c:pt>
                <c:pt idx="26">
                  <c:v>-2.4760000000000001E-2</c:v>
                </c:pt>
                <c:pt idx="27">
                  <c:v>-2.4170000000000001E-2</c:v>
                </c:pt>
                <c:pt idx="28">
                  <c:v>-2.6440000000000002E-2</c:v>
                </c:pt>
                <c:pt idx="29">
                  <c:v>0</c:v>
                </c:pt>
                <c:pt idx="30">
                  <c:v>-1.337E-2</c:v>
                </c:pt>
                <c:pt idx="31">
                  <c:v>-2.6599999999999999E-2</c:v>
                </c:pt>
                <c:pt idx="32">
                  <c:v>-3.9559999999999998E-2</c:v>
                </c:pt>
                <c:pt idx="33">
                  <c:v>-3.9649999999999998E-2</c:v>
                </c:pt>
                <c:pt idx="34">
                  <c:v>-3.8739999999999997E-2</c:v>
                </c:pt>
                <c:pt idx="35">
                  <c:v>2.7009999999999999E-2</c:v>
                </c:pt>
                <c:pt idx="36">
                  <c:v>2.7359999999999999E-2</c:v>
                </c:pt>
                <c:pt idx="37">
                  <c:v>2.7220000000000001E-2</c:v>
                </c:pt>
                <c:pt idx="38">
                  <c:v>1.359E-2</c:v>
                </c:pt>
                <c:pt idx="39">
                  <c:v>2.75E-2</c:v>
                </c:pt>
                <c:pt idx="40">
                  <c:v>1.3690000000000001E-2</c:v>
                </c:pt>
                <c:pt idx="41">
                  <c:v>0</c:v>
                </c:pt>
                <c:pt idx="42">
                  <c:v>1.323E-2</c:v>
                </c:pt>
                <c:pt idx="43">
                  <c:v>2.6200000000000001E-2</c:v>
                </c:pt>
                <c:pt idx="44">
                  <c:v>4.0689999999999997E-2</c:v>
                </c:pt>
                <c:pt idx="45">
                  <c:v>2.3429999999999999E-2</c:v>
                </c:pt>
                <c:pt idx="46">
                  <c:v>-3.7229999999999999E-2</c:v>
                </c:pt>
                <c:pt idx="47">
                  <c:v>-3.8440000000000002E-2</c:v>
                </c:pt>
                <c:pt idx="48">
                  <c:v>-2.6859999999999998E-2</c:v>
                </c:pt>
                <c:pt idx="49">
                  <c:v>-2.5989999999999999E-2</c:v>
                </c:pt>
                <c:pt idx="50">
                  <c:v>-1.328E-2</c:v>
                </c:pt>
                <c:pt idx="51">
                  <c:v>0</c:v>
                </c:pt>
                <c:pt idx="52">
                  <c:v>-1.3310000000000001E-2</c:v>
                </c:pt>
                <c:pt idx="53">
                  <c:v>-3.1859999999999999E-2</c:v>
                </c:pt>
                <c:pt idx="54">
                  <c:v>-3.1320000000000001E-2</c:v>
                </c:pt>
                <c:pt idx="55">
                  <c:v>-3.0249999999999999E-2</c:v>
                </c:pt>
                <c:pt idx="56">
                  <c:v>-1.47E-2</c:v>
                </c:pt>
                <c:pt idx="57">
                  <c:v>-1.4670000000000001E-2</c:v>
                </c:pt>
                <c:pt idx="58">
                  <c:v>1.472E-2</c:v>
                </c:pt>
                <c:pt idx="59">
                  <c:v>0</c:v>
                </c:pt>
                <c:pt idx="60">
                  <c:v>0</c:v>
                </c:pt>
                <c:pt idx="61">
                  <c:v>1.091E-2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A6-4EE4-8614-46B83DB8F3AD}"/>
            </c:ext>
          </c:extLst>
        </c:ser>
        <c:ser>
          <c:idx val="14"/>
          <c:order val="3"/>
          <c:tx>
            <c:strRef>
              <c:f>Data!$AG$1</c:f>
              <c:strCache>
                <c:ptCount val="1"/>
                <c:pt idx="0">
                  <c:v>Power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Data!$AG$130:$AG$200</c:f>
              <c:numCache>
                <c:formatCode>General</c:formatCode>
                <c:ptCount val="71"/>
                <c:pt idx="0">
                  <c:v>0.52869999999999995</c:v>
                </c:pt>
                <c:pt idx="1">
                  <c:v>0.30012</c:v>
                </c:pt>
                <c:pt idx="2">
                  <c:v>-1.298E-2</c:v>
                </c:pt>
                <c:pt idx="3">
                  <c:v>-0.15945000000000001</c:v>
                </c:pt>
                <c:pt idx="4">
                  <c:v>-0.10014000000000001</c:v>
                </c:pt>
                <c:pt idx="5">
                  <c:v>5.833E-2</c:v>
                </c:pt>
                <c:pt idx="6">
                  <c:v>0.17446999999999999</c:v>
                </c:pt>
                <c:pt idx="7">
                  <c:v>0.19</c:v>
                </c:pt>
                <c:pt idx="8">
                  <c:v>0.1368</c:v>
                </c:pt>
                <c:pt idx="9">
                  <c:v>6.5769999999999995E-2</c:v>
                </c:pt>
                <c:pt idx="10">
                  <c:v>2.9389999999999999E-2</c:v>
                </c:pt>
                <c:pt idx="11">
                  <c:v>-6.4000000000000003E-3</c:v>
                </c:pt>
                <c:pt idx="12">
                  <c:v>0.10234</c:v>
                </c:pt>
                <c:pt idx="13">
                  <c:v>4.3860000000000003E-2</c:v>
                </c:pt>
                <c:pt idx="14">
                  <c:v>8.8900000000000003E-3</c:v>
                </c:pt>
                <c:pt idx="15">
                  <c:v>-3.2289999999999999E-2</c:v>
                </c:pt>
                <c:pt idx="16">
                  <c:v>-7.9409999999999994E-2</c:v>
                </c:pt>
                <c:pt idx="17">
                  <c:v>-0.11391999999999999</c:v>
                </c:pt>
                <c:pt idx="18">
                  <c:v>-0.12628</c:v>
                </c:pt>
                <c:pt idx="19">
                  <c:v>-0.11575000000000001</c:v>
                </c:pt>
                <c:pt idx="20">
                  <c:v>-9.3840000000000007E-2</c:v>
                </c:pt>
                <c:pt idx="21">
                  <c:v>-5.706E-2</c:v>
                </c:pt>
                <c:pt idx="22">
                  <c:v>-3.4380000000000001E-2</c:v>
                </c:pt>
                <c:pt idx="23">
                  <c:v>-2.0459999999999999E-2</c:v>
                </c:pt>
                <c:pt idx="24">
                  <c:v>-7.0529999999999995E-2</c:v>
                </c:pt>
                <c:pt idx="25">
                  <c:v>-4.1840000000000002E-2</c:v>
                </c:pt>
                <c:pt idx="26">
                  <c:v>2.2399999999999998E-3</c:v>
                </c:pt>
                <c:pt idx="27">
                  <c:v>3.2829999999999998E-2</c:v>
                </c:pt>
                <c:pt idx="28">
                  <c:v>6.0560000000000003E-2</c:v>
                </c:pt>
                <c:pt idx="29">
                  <c:v>0.104</c:v>
                </c:pt>
                <c:pt idx="30">
                  <c:v>9.8629999999999995E-2</c:v>
                </c:pt>
                <c:pt idx="31">
                  <c:v>8.4400000000000003E-2</c:v>
                </c:pt>
                <c:pt idx="32">
                  <c:v>5.944E-2</c:v>
                </c:pt>
                <c:pt idx="33">
                  <c:v>4.1349999999999998E-2</c:v>
                </c:pt>
                <c:pt idx="34">
                  <c:v>1.9259999999999999E-2</c:v>
                </c:pt>
                <c:pt idx="35">
                  <c:v>6.3009999999999997E-2</c:v>
                </c:pt>
                <c:pt idx="36">
                  <c:v>3.9359999999999999E-2</c:v>
                </c:pt>
                <c:pt idx="37">
                  <c:v>1.3220000000000001E-2</c:v>
                </c:pt>
                <c:pt idx="38">
                  <c:v>-2.2409999999999999E-2</c:v>
                </c:pt>
                <c:pt idx="39">
                  <c:v>-3.6499999999999998E-2</c:v>
                </c:pt>
                <c:pt idx="40">
                  <c:v>-7.1309999999999998E-2</c:v>
                </c:pt>
                <c:pt idx="41">
                  <c:v>-9.8000000000000004E-2</c:v>
                </c:pt>
                <c:pt idx="42">
                  <c:v>-8.8770000000000002E-2</c:v>
                </c:pt>
                <c:pt idx="43">
                  <c:v>-7.0800000000000002E-2</c:v>
                </c:pt>
                <c:pt idx="44">
                  <c:v>-4.1309999999999999E-2</c:v>
                </c:pt>
                <c:pt idx="45">
                  <c:v>-4.4569999999999999E-2</c:v>
                </c:pt>
                <c:pt idx="46">
                  <c:v>-8.2229999999999998E-2</c:v>
                </c:pt>
                <c:pt idx="47">
                  <c:v>-5.5440000000000003E-2</c:v>
                </c:pt>
                <c:pt idx="48">
                  <c:v>-1.7860000000000001E-2</c:v>
                </c:pt>
                <c:pt idx="49">
                  <c:v>1.1010000000000001E-2</c:v>
                </c:pt>
                <c:pt idx="50">
                  <c:v>4.6719999999999998E-2</c:v>
                </c:pt>
                <c:pt idx="51">
                  <c:v>7.5999999999999998E-2</c:v>
                </c:pt>
                <c:pt idx="52">
                  <c:v>6.9690000000000002E-2</c:v>
                </c:pt>
                <c:pt idx="53">
                  <c:v>4.9140000000000003E-2</c:v>
                </c:pt>
                <c:pt idx="54">
                  <c:v>4.2680000000000003E-2</c:v>
                </c:pt>
                <c:pt idx="55">
                  <c:v>3.175E-2</c:v>
                </c:pt>
                <c:pt idx="56">
                  <c:v>3.73E-2</c:v>
                </c:pt>
                <c:pt idx="57">
                  <c:v>2.4330000000000001E-2</c:v>
                </c:pt>
                <c:pt idx="58">
                  <c:v>3.8719999999999997E-2</c:v>
                </c:pt>
                <c:pt idx="59">
                  <c:v>1.4E-2</c:v>
                </c:pt>
                <c:pt idx="60">
                  <c:v>5.0000000000000001E-3</c:v>
                </c:pt>
                <c:pt idx="61">
                  <c:v>2.9099999999999998E-3</c:v>
                </c:pt>
                <c:pt idx="62">
                  <c:v>-1.4E-2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A6-4EE4-8614-46B83DB8F3AD}"/>
            </c:ext>
          </c:extLst>
        </c:ser>
        <c:ser>
          <c:idx val="3"/>
          <c:order val="4"/>
          <c:tx>
            <c:strRef>
              <c:f>Data!$AO$1</c:f>
              <c:strCache>
                <c:ptCount val="1"/>
                <c:pt idx="0">
                  <c:v>Pos-Norm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Data!$AO$130:$AO$200</c:f>
              <c:numCache>
                <c:formatCode>0.000</c:formatCode>
                <c:ptCount val="71"/>
                <c:pt idx="0">
                  <c:v>0.9768500948766603</c:v>
                </c:pt>
                <c:pt idx="1">
                  <c:v>0.98349146110056929</c:v>
                </c:pt>
                <c:pt idx="2">
                  <c:v>0.98975332068311195</c:v>
                </c:pt>
                <c:pt idx="3">
                  <c:v>0.99392789373814039</c:v>
                </c:pt>
                <c:pt idx="4">
                  <c:v>0.9956356736242884</c:v>
                </c:pt>
                <c:pt idx="5">
                  <c:v>0.99582542694497156</c:v>
                </c:pt>
                <c:pt idx="6">
                  <c:v>0.99582542694497156</c:v>
                </c:pt>
                <c:pt idx="7">
                  <c:v>0.99639468690702082</c:v>
                </c:pt>
                <c:pt idx="8">
                  <c:v>0.99753320683111957</c:v>
                </c:pt>
                <c:pt idx="9">
                  <c:v>0.9986717267552182</c:v>
                </c:pt>
                <c:pt idx="10">
                  <c:v>0.99981024667931684</c:v>
                </c:pt>
                <c:pt idx="11">
                  <c:v>1.0007590132827324</c:v>
                </c:pt>
                <c:pt idx="12">
                  <c:v>1.0013282732447817</c:v>
                </c:pt>
                <c:pt idx="13">
                  <c:v>1.0020872865275143</c:v>
                </c:pt>
                <c:pt idx="14">
                  <c:v>1.0026565464895636</c:v>
                </c:pt>
                <c:pt idx="15">
                  <c:v>1.0030360531309297</c:v>
                </c:pt>
                <c:pt idx="16">
                  <c:v>1.0032258064516129</c:v>
                </c:pt>
                <c:pt idx="17">
                  <c:v>1.0030360531309297</c:v>
                </c:pt>
                <c:pt idx="18">
                  <c:v>1.0026565464895636</c:v>
                </c:pt>
                <c:pt idx="19">
                  <c:v>1.0020872865275143</c:v>
                </c:pt>
                <c:pt idx="20">
                  <c:v>1.0013282732447817</c:v>
                </c:pt>
                <c:pt idx="21">
                  <c:v>1.0005692599620493</c:v>
                </c:pt>
                <c:pt idx="22">
                  <c:v>1</c:v>
                </c:pt>
                <c:pt idx="23">
                  <c:v>0.99943074003795063</c:v>
                </c:pt>
                <c:pt idx="24">
                  <c:v>0.99886148007590136</c:v>
                </c:pt>
                <c:pt idx="25">
                  <c:v>0.99848197343453515</c:v>
                </c:pt>
                <c:pt idx="26">
                  <c:v>0.99810246679316883</c:v>
                </c:pt>
                <c:pt idx="27">
                  <c:v>0.99772296015180262</c:v>
                </c:pt>
                <c:pt idx="28">
                  <c:v>0.99772296015180262</c:v>
                </c:pt>
                <c:pt idx="29">
                  <c:v>0.99791271347248578</c:v>
                </c:pt>
                <c:pt idx="30">
                  <c:v>0.99829222011385199</c:v>
                </c:pt>
                <c:pt idx="31">
                  <c:v>0.99886148007590136</c:v>
                </c:pt>
                <c:pt idx="32">
                  <c:v>0.99943074003795063</c:v>
                </c:pt>
                <c:pt idx="33">
                  <c:v>1</c:v>
                </c:pt>
                <c:pt idx="34">
                  <c:v>1.0003795066413663</c:v>
                </c:pt>
                <c:pt idx="35">
                  <c:v>1.0007590132827324</c:v>
                </c:pt>
                <c:pt idx="36">
                  <c:v>1.0011385199240987</c:v>
                </c:pt>
                <c:pt idx="37">
                  <c:v>1.0013282732447817</c:v>
                </c:pt>
                <c:pt idx="38">
                  <c:v>1.001707779886148</c:v>
                </c:pt>
                <c:pt idx="39">
                  <c:v>1.0018975332068312</c:v>
                </c:pt>
                <c:pt idx="40">
                  <c:v>1.0018975332068312</c:v>
                </c:pt>
                <c:pt idx="41">
                  <c:v>1.001707779886148</c:v>
                </c:pt>
                <c:pt idx="42">
                  <c:v>1.0013282732447817</c:v>
                </c:pt>
                <c:pt idx="43">
                  <c:v>1.0007590132827324</c:v>
                </c:pt>
                <c:pt idx="44">
                  <c:v>1.0003795066413663</c:v>
                </c:pt>
                <c:pt idx="45">
                  <c:v>0.99981024667931684</c:v>
                </c:pt>
                <c:pt idx="46">
                  <c:v>0.99924098671726758</c:v>
                </c:pt>
                <c:pt idx="47">
                  <c:v>0.99886148007590136</c:v>
                </c:pt>
                <c:pt idx="48">
                  <c:v>0.99848197343453515</c:v>
                </c:pt>
                <c:pt idx="49">
                  <c:v>0.99829222011385199</c:v>
                </c:pt>
                <c:pt idx="50">
                  <c:v>0.99829222011385199</c:v>
                </c:pt>
                <c:pt idx="51">
                  <c:v>0.99848197343453515</c:v>
                </c:pt>
                <c:pt idx="52">
                  <c:v>0.99886148007590136</c:v>
                </c:pt>
                <c:pt idx="53">
                  <c:v>0.99924098671726758</c:v>
                </c:pt>
                <c:pt idx="54">
                  <c:v>0.99962049335863379</c:v>
                </c:pt>
                <c:pt idx="55">
                  <c:v>0.99981024667931684</c:v>
                </c:pt>
                <c:pt idx="56">
                  <c:v>1</c:v>
                </c:pt>
                <c:pt idx="57">
                  <c:v>1.0001897533206832</c:v>
                </c:pt>
                <c:pt idx="58">
                  <c:v>1.0001897533206832</c:v>
                </c:pt>
                <c:pt idx="59">
                  <c:v>1.0001897533206832</c:v>
                </c:pt>
                <c:pt idx="60">
                  <c:v>1.0003795066413663</c:v>
                </c:pt>
                <c:pt idx="61">
                  <c:v>1.0003795066413663</c:v>
                </c:pt>
                <c:pt idx="62">
                  <c:v>1.0003795066413663</c:v>
                </c:pt>
                <c:pt idx="63">
                  <c:v>1.0003795066413663</c:v>
                </c:pt>
                <c:pt idx="64">
                  <c:v>1.0003795066413663</c:v>
                </c:pt>
                <c:pt idx="65">
                  <c:v>1.0003795066413663</c:v>
                </c:pt>
                <c:pt idx="66">
                  <c:v>1.0003795066413663</c:v>
                </c:pt>
                <c:pt idx="67">
                  <c:v>1.0003795066413663</c:v>
                </c:pt>
                <c:pt idx="68">
                  <c:v>1.0003795066413663</c:v>
                </c:pt>
                <c:pt idx="69">
                  <c:v>1.0003795066413663</c:v>
                </c:pt>
                <c:pt idx="70">
                  <c:v>1.0003795066413663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A6-4EE4-8614-46B83DB8F3AD}"/>
            </c:ext>
          </c:extLst>
        </c:ser>
        <c:ser>
          <c:idx val="4"/>
          <c:order val="5"/>
          <c:tx>
            <c:strRef>
              <c:f>Data!$AR$1</c:f>
              <c:strCache>
                <c:ptCount val="1"/>
                <c:pt idx="0">
                  <c:v>I-Target-Norm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Data!$AR$130:$AR$200</c:f>
              <c:numCache>
                <c:formatCode>0.000</c:formatCode>
                <c:ptCount val="71"/>
                <c:pt idx="0">
                  <c:v>0.99848197343453515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A6-4EE4-8614-46B83DB8F3AD}"/>
            </c:ext>
          </c:extLst>
        </c:ser>
        <c:ser>
          <c:idx val="10"/>
          <c:order val="11"/>
          <c:tx>
            <c:strRef>
              <c:f>Data!$AQ$1</c:f>
              <c:strCache>
                <c:ptCount val="1"/>
                <c:pt idx="0">
                  <c:v>Relative-Error</c:v>
                </c:pt>
              </c:strCache>
            </c:strRef>
          </c:tx>
          <c:spPr>
            <a:ln w="3492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Data!$S$2:$S$1578</c:f>
              <c:numCache>
                <c:formatCode>#,##0</c:formatCode>
                <c:ptCount val="1577"/>
                <c:pt idx="0" formatCode="General">
                  <c:v>9.1159999999999997</c:v>
                </c:pt>
                <c:pt idx="1">
                  <c:v>25.126999999999999</c:v>
                </c:pt>
                <c:pt idx="2">
                  <c:v>41.725999999999999</c:v>
                </c:pt>
                <c:pt idx="3">
                  <c:v>58.390999999999998</c:v>
                </c:pt>
                <c:pt idx="4">
                  <c:v>76.775000000000006</c:v>
                </c:pt>
                <c:pt idx="5">
                  <c:v>94.019000000000005</c:v>
                </c:pt>
                <c:pt idx="6">
                  <c:v>110.72</c:v>
                </c:pt>
                <c:pt idx="7">
                  <c:v>127.133</c:v>
                </c:pt>
                <c:pt idx="8">
                  <c:v>142.863</c:v>
                </c:pt>
                <c:pt idx="9">
                  <c:v>159.91</c:v>
                </c:pt>
                <c:pt idx="10">
                  <c:v>176.518</c:v>
                </c:pt>
                <c:pt idx="11">
                  <c:v>189.03800000000001</c:v>
                </c:pt>
                <c:pt idx="12">
                  <c:v>201.697</c:v>
                </c:pt>
                <c:pt idx="13">
                  <c:v>214.48099999999999</c:v>
                </c:pt>
                <c:pt idx="14">
                  <c:v>227.10400000000001</c:v>
                </c:pt>
                <c:pt idx="15">
                  <c:v>239.245</c:v>
                </c:pt>
                <c:pt idx="16">
                  <c:v>251.73699999999999</c:v>
                </c:pt>
                <c:pt idx="17">
                  <c:v>264.67599999999999</c:v>
                </c:pt>
                <c:pt idx="18">
                  <c:v>277.81799999999998</c:v>
                </c:pt>
                <c:pt idx="19">
                  <c:v>291.26799999999997</c:v>
                </c:pt>
                <c:pt idx="20">
                  <c:v>303.74900000000002</c:v>
                </c:pt>
                <c:pt idx="21">
                  <c:v>315.96899999999999</c:v>
                </c:pt>
                <c:pt idx="22">
                  <c:v>327.89100000000002</c:v>
                </c:pt>
                <c:pt idx="23">
                  <c:v>339.85300000000001</c:v>
                </c:pt>
                <c:pt idx="24">
                  <c:v>352.69099999999997</c:v>
                </c:pt>
                <c:pt idx="25">
                  <c:v>364.52</c:v>
                </c:pt>
                <c:pt idx="26">
                  <c:v>376.17599999999999</c:v>
                </c:pt>
                <c:pt idx="27">
                  <c:v>387.89800000000002</c:v>
                </c:pt>
                <c:pt idx="28">
                  <c:v>401.71300000000002</c:v>
                </c:pt>
                <c:pt idx="29">
                  <c:v>415.24</c:v>
                </c:pt>
                <c:pt idx="30">
                  <c:v>429.83100000000002</c:v>
                </c:pt>
                <c:pt idx="31">
                  <c:v>443.34800000000001</c:v>
                </c:pt>
                <c:pt idx="32">
                  <c:v>460.75799999999998</c:v>
                </c:pt>
                <c:pt idx="33">
                  <c:v>477.291</c:v>
                </c:pt>
                <c:pt idx="34">
                  <c:v>492.06299999999999</c:v>
                </c:pt>
                <c:pt idx="35">
                  <c:v>508.08499999999998</c:v>
                </c:pt>
                <c:pt idx="36">
                  <c:v>521.38300000000004</c:v>
                </c:pt>
                <c:pt idx="37">
                  <c:v>535.69000000000005</c:v>
                </c:pt>
                <c:pt idx="38">
                  <c:v>547.85400000000004</c:v>
                </c:pt>
                <c:pt idx="39">
                  <c:v>561.40499999999997</c:v>
                </c:pt>
                <c:pt idx="40">
                  <c:v>576.49400000000003</c:v>
                </c:pt>
                <c:pt idx="41">
                  <c:v>590.90200000000004</c:v>
                </c:pt>
                <c:pt idx="42">
                  <c:v>604.27700000000004</c:v>
                </c:pt>
                <c:pt idx="43">
                  <c:v>617.726</c:v>
                </c:pt>
                <c:pt idx="44">
                  <c:v>629.39499999999998</c:v>
                </c:pt>
                <c:pt idx="45">
                  <c:v>643.27</c:v>
                </c:pt>
                <c:pt idx="46">
                  <c:v>657.66600000000005</c:v>
                </c:pt>
                <c:pt idx="47">
                  <c:v>671.36</c:v>
                </c:pt>
                <c:pt idx="48">
                  <c:v>685.32500000000005</c:v>
                </c:pt>
                <c:pt idx="49">
                  <c:v>699.22900000000004</c:v>
                </c:pt>
                <c:pt idx="50">
                  <c:v>713.851</c:v>
                </c:pt>
                <c:pt idx="51">
                  <c:v>729.20699999999999</c:v>
                </c:pt>
                <c:pt idx="52">
                  <c:v>744.71199999999999</c:v>
                </c:pt>
                <c:pt idx="53">
                  <c:v>758.15800000000002</c:v>
                </c:pt>
                <c:pt idx="54">
                  <c:v>771.18399999999997</c:v>
                </c:pt>
                <c:pt idx="55">
                  <c:v>784.05499999999995</c:v>
                </c:pt>
                <c:pt idx="56">
                  <c:v>797.20799999999997</c:v>
                </c:pt>
                <c:pt idx="57">
                  <c:v>810.82</c:v>
                </c:pt>
                <c:pt idx="58">
                  <c:v>823.76800000000003</c:v>
                </c:pt>
                <c:pt idx="59">
                  <c:v>837.46799999999996</c:v>
                </c:pt>
                <c:pt idx="60">
                  <c:v>850.774</c:v>
                </c:pt>
                <c:pt idx="61">
                  <c:v>865.27200000000005</c:v>
                </c:pt>
                <c:pt idx="62">
                  <c:v>879.96199999999999</c:v>
                </c:pt>
                <c:pt idx="63">
                  <c:v>894.21299999999997</c:v>
                </c:pt>
                <c:pt idx="64">
                  <c:v>908.35599999999999</c:v>
                </c:pt>
                <c:pt idx="65">
                  <c:v>925.19600000000003</c:v>
                </c:pt>
                <c:pt idx="66">
                  <c:v>940.41200000000003</c:v>
                </c:pt>
                <c:pt idx="67">
                  <c:v>955.10599999999999</c:v>
                </c:pt>
                <c:pt idx="68">
                  <c:v>970.84699999999998</c:v>
                </c:pt>
                <c:pt idx="69">
                  <c:v>985.548</c:v>
                </c:pt>
                <c:pt idx="70">
                  <c:v>999.66200000000003</c:v>
                </c:pt>
                <c:pt idx="71">
                  <c:v>1017.202</c:v>
                </c:pt>
                <c:pt idx="72">
                  <c:v>1031.598</c:v>
                </c:pt>
                <c:pt idx="73">
                  <c:v>1046.2070000000001</c:v>
                </c:pt>
                <c:pt idx="74">
                  <c:v>1060.8889999999999</c:v>
                </c:pt>
                <c:pt idx="75">
                  <c:v>1075.7529999999999</c:v>
                </c:pt>
                <c:pt idx="76">
                  <c:v>1089.674</c:v>
                </c:pt>
                <c:pt idx="77">
                  <c:v>1103.9290000000001</c:v>
                </c:pt>
                <c:pt idx="78">
                  <c:v>1117.914</c:v>
                </c:pt>
                <c:pt idx="79">
                  <c:v>1132.4290000000001</c:v>
                </c:pt>
                <c:pt idx="80">
                  <c:v>1147.057</c:v>
                </c:pt>
                <c:pt idx="81">
                  <c:v>1164.6690000000001</c:v>
                </c:pt>
                <c:pt idx="82">
                  <c:v>1179.7380000000001</c:v>
                </c:pt>
                <c:pt idx="83">
                  <c:v>1194.498</c:v>
                </c:pt>
                <c:pt idx="84">
                  <c:v>1209.5329999999999</c:v>
                </c:pt>
                <c:pt idx="85">
                  <c:v>1225.0139999999999</c:v>
                </c:pt>
                <c:pt idx="86">
                  <c:v>1239.1790000000001</c:v>
                </c:pt>
                <c:pt idx="87">
                  <c:v>1252.8720000000001</c:v>
                </c:pt>
                <c:pt idx="88">
                  <c:v>1266.165</c:v>
                </c:pt>
                <c:pt idx="89">
                  <c:v>1279.018</c:v>
                </c:pt>
                <c:pt idx="90">
                  <c:v>1292.4680000000001</c:v>
                </c:pt>
                <c:pt idx="91">
                  <c:v>1305.5150000000001</c:v>
                </c:pt>
                <c:pt idx="92">
                  <c:v>1318.538</c:v>
                </c:pt>
                <c:pt idx="93">
                  <c:v>1331.7270000000001</c:v>
                </c:pt>
                <c:pt idx="94">
                  <c:v>1346.44</c:v>
                </c:pt>
                <c:pt idx="95">
                  <c:v>1362.9939999999999</c:v>
                </c:pt>
                <c:pt idx="96">
                  <c:v>1378.204</c:v>
                </c:pt>
                <c:pt idx="97">
                  <c:v>1392.172</c:v>
                </c:pt>
                <c:pt idx="98">
                  <c:v>1408.347</c:v>
                </c:pt>
                <c:pt idx="99">
                  <c:v>1423.6659999999999</c:v>
                </c:pt>
                <c:pt idx="100">
                  <c:v>1437.915</c:v>
                </c:pt>
                <c:pt idx="101">
                  <c:v>1451.499</c:v>
                </c:pt>
                <c:pt idx="102">
                  <c:v>1464.6010000000001</c:v>
                </c:pt>
                <c:pt idx="103">
                  <c:v>1480.941</c:v>
                </c:pt>
                <c:pt idx="104">
                  <c:v>1495.8979999999999</c:v>
                </c:pt>
                <c:pt idx="105">
                  <c:v>1509.8510000000001</c:v>
                </c:pt>
                <c:pt idx="106">
                  <c:v>1525.876</c:v>
                </c:pt>
                <c:pt idx="107">
                  <c:v>1540.104</c:v>
                </c:pt>
                <c:pt idx="108">
                  <c:v>1555.2750000000001</c:v>
                </c:pt>
                <c:pt idx="109">
                  <c:v>1569.329</c:v>
                </c:pt>
                <c:pt idx="110">
                  <c:v>1583.432</c:v>
                </c:pt>
                <c:pt idx="111">
                  <c:v>1597.577</c:v>
                </c:pt>
                <c:pt idx="112">
                  <c:v>1611.454</c:v>
                </c:pt>
                <c:pt idx="113">
                  <c:v>1625.4639999999999</c:v>
                </c:pt>
                <c:pt idx="114">
                  <c:v>1637.6089999999999</c:v>
                </c:pt>
                <c:pt idx="115">
                  <c:v>1649.576</c:v>
                </c:pt>
                <c:pt idx="116">
                  <c:v>1664.7829999999999</c:v>
                </c:pt>
                <c:pt idx="117">
                  <c:v>1682.164</c:v>
                </c:pt>
                <c:pt idx="118">
                  <c:v>1695.635</c:v>
                </c:pt>
                <c:pt idx="119">
                  <c:v>1707.8430000000001</c:v>
                </c:pt>
                <c:pt idx="120">
                  <c:v>1720.9179999999999</c:v>
                </c:pt>
                <c:pt idx="121">
                  <c:v>1734.0350000000001</c:v>
                </c:pt>
                <c:pt idx="122">
                  <c:v>1747.31</c:v>
                </c:pt>
                <c:pt idx="123">
                  <c:v>1762.86</c:v>
                </c:pt>
                <c:pt idx="124">
                  <c:v>1775.598</c:v>
                </c:pt>
                <c:pt idx="125">
                  <c:v>1788.511</c:v>
                </c:pt>
                <c:pt idx="126">
                  <c:v>1801.155</c:v>
                </c:pt>
                <c:pt idx="127">
                  <c:v>1813.671</c:v>
                </c:pt>
                <c:pt idx="128">
                  <c:v>1825.925</c:v>
                </c:pt>
                <c:pt idx="129">
                  <c:v>1838.345</c:v>
                </c:pt>
                <c:pt idx="130">
                  <c:v>1850.0509999999999</c:v>
                </c:pt>
                <c:pt idx="131">
                  <c:v>1861.8889999999999</c:v>
                </c:pt>
                <c:pt idx="132">
                  <c:v>1873.463</c:v>
                </c:pt>
                <c:pt idx="133">
                  <c:v>1885.373</c:v>
                </c:pt>
                <c:pt idx="134">
                  <c:v>1897.4970000000001</c:v>
                </c:pt>
                <c:pt idx="135">
                  <c:v>1910.0119999999999</c:v>
                </c:pt>
                <c:pt idx="136">
                  <c:v>1924.2719999999999</c:v>
                </c:pt>
                <c:pt idx="137">
                  <c:v>1938.271</c:v>
                </c:pt>
                <c:pt idx="138">
                  <c:v>1951.9169999999999</c:v>
                </c:pt>
                <c:pt idx="139">
                  <c:v>1965.1469999999999</c:v>
                </c:pt>
                <c:pt idx="140">
                  <c:v>1978.2829999999999</c:v>
                </c:pt>
                <c:pt idx="141">
                  <c:v>1992.816</c:v>
                </c:pt>
                <c:pt idx="142">
                  <c:v>2006.434</c:v>
                </c:pt>
                <c:pt idx="143">
                  <c:v>2020.8309999999999</c:v>
                </c:pt>
                <c:pt idx="144">
                  <c:v>2034.999</c:v>
                </c:pt>
                <c:pt idx="145">
                  <c:v>2047.355</c:v>
                </c:pt>
                <c:pt idx="146">
                  <c:v>2061.17</c:v>
                </c:pt>
                <c:pt idx="147">
                  <c:v>2075.27</c:v>
                </c:pt>
                <c:pt idx="148">
                  <c:v>2089.1790000000001</c:v>
                </c:pt>
                <c:pt idx="149">
                  <c:v>2103.1680000000001</c:v>
                </c:pt>
                <c:pt idx="150">
                  <c:v>2116.5700000000002</c:v>
                </c:pt>
                <c:pt idx="151">
                  <c:v>2130.6750000000002</c:v>
                </c:pt>
                <c:pt idx="152">
                  <c:v>2144.1869999999999</c:v>
                </c:pt>
                <c:pt idx="153">
                  <c:v>2159.0129999999999</c:v>
                </c:pt>
                <c:pt idx="154">
                  <c:v>2172.6489999999999</c:v>
                </c:pt>
                <c:pt idx="155">
                  <c:v>2187.0340000000001</c:v>
                </c:pt>
                <c:pt idx="156">
                  <c:v>2200.5909999999999</c:v>
                </c:pt>
                <c:pt idx="157">
                  <c:v>2213.8359999999998</c:v>
                </c:pt>
                <c:pt idx="158">
                  <c:v>2227.422</c:v>
                </c:pt>
                <c:pt idx="159">
                  <c:v>2240.8580000000002</c:v>
                </c:pt>
                <c:pt idx="160">
                  <c:v>2254.58</c:v>
                </c:pt>
                <c:pt idx="161">
                  <c:v>2268.3690000000001</c:v>
                </c:pt>
                <c:pt idx="162">
                  <c:v>2282.038</c:v>
                </c:pt>
                <c:pt idx="163">
                  <c:v>2295.3200000000002</c:v>
                </c:pt>
                <c:pt idx="164">
                  <c:v>2308.4369999999999</c:v>
                </c:pt>
                <c:pt idx="165">
                  <c:v>2321.7269999999999</c:v>
                </c:pt>
                <c:pt idx="166">
                  <c:v>2335.1109999999999</c:v>
                </c:pt>
                <c:pt idx="167">
                  <c:v>2347.9</c:v>
                </c:pt>
                <c:pt idx="168">
                  <c:v>2361.3739999999998</c:v>
                </c:pt>
                <c:pt idx="169">
                  <c:v>2375.2809999999999</c:v>
                </c:pt>
                <c:pt idx="170">
                  <c:v>2389.1309999999999</c:v>
                </c:pt>
                <c:pt idx="171">
                  <c:v>2402.7040000000002</c:v>
                </c:pt>
                <c:pt idx="172">
                  <c:v>2417.0450000000001</c:v>
                </c:pt>
                <c:pt idx="173">
                  <c:v>2431.6610000000001</c:v>
                </c:pt>
                <c:pt idx="174">
                  <c:v>2446.326</c:v>
                </c:pt>
                <c:pt idx="175">
                  <c:v>2459.7060000000001</c:v>
                </c:pt>
                <c:pt idx="176">
                  <c:v>2473.7959999999998</c:v>
                </c:pt>
                <c:pt idx="177">
                  <c:v>2487.2150000000001</c:v>
                </c:pt>
                <c:pt idx="178">
                  <c:v>2502.5590000000002</c:v>
                </c:pt>
                <c:pt idx="179">
                  <c:v>2515.6039999999998</c:v>
                </c:pt>
                <c:pt idx="180">
                  <c:v>2529.0940000000001</c:v>
                </c:pt>
                <c:pt idx="181">
                  <c:v>2540.3969999999999</c:v>
                </c:pt>
                <c:pt idx="182">
                  <c:v>2551.895</c:v>
                </c:pt>
                <c:pt idx="183">
                  <c:v>2564.127</c:v>
                </c:pt>
                <c:pt idx="184">
                  <c:v>2576.7800000000002</c:v>
                </c:pt>
                <c:pt idx="185">
                  <c:v>2588.819</c:v>
                </c:pt>
                <c:pt idx="186">
                  <c:v>2600.797</c:v>
                </c:pt>
                <c:pt idx="187">
                  <c:v>2612.8539999999998</c:v>
                </c:pt>
                <c:pt idx="188">
                  <c:v>2625.0459999999998</c:v>
                </c:pt>
                <c:pt idx="189">
                  <c:v>2641.9110000000001</c:v>
                </c:pt>
                <c:pt idx="190">
                  <c:v>2660.431</c:v>
                </c:pt>
                <c:pt idx="191">
                  <c:v>2672.93</c:v>
                </c:pt>
                <c:pt idx="192">
                  <c:v>2685.3780000000002</c:v>
                </c:pt>
                <c:pt idx="193">
                  <c:v>2696.0810000000001</c:v>
                </c:pt>
                <c:pt idx="194">
                  <c:v>2707.0210000000002</c:v>
                </c:pt>
                <c:pt idx="195">
                  <c:v>2717.9859999999999</c:v>
                </c:pt>
                <c:pt idx="196">
                  <c:v>2728.665</c:v>
                </c:pt>
                <c:pt idx="197">
                  <c:v>2740.7310000000002</c:v>
                </c:pt>
                <c:pt idx="198">
                  <c:v>2752.0859999999998</c:v>
                </c:pt>
                <c:pt idx="199">
                  <c:v>2762.7710000000002</c:v>
                </c:pt>
              </c:numCache>
            </c:numRef>
          </c:cat>
          <c:val>
            <c:numRef>
              <c:f>Data!$AQ$130:$AQ$200</c:f>
              <c:numCache>
                <c:formatCode>0%</c:formatCode>
                <c:ptCount val="71"/>
                <c:pt idx="0">
                  <c:v>0.60962566844919786</c:v>
                </c:pt>
                <c:pt idx="1">
                  <c:v>0.46524064171122997</c:v>
                </c:pt>
                <c:pt idx="2">
                  <c:v>0.28877005347593582</c:v>
                </c:pt>
                <c:pt idx="3">
                  <c:v>0.17112299465240641</c:v>
                </c:pt>
                <c:pt idx="4">
                  <c:v>0.12299465240641712</c:v>
                </c:pt>
                <c:pt idx="5">
                  <c:v>0.11764705882352941</c:v>
                </c:pt>
                <c:pt idx="6">
                  <c:v>0.11764705882352941</c:v>
                </c:pt>
                <c:pt idx="7">
                  <c:v>0.10160427807486631</c:v>
                </c:pt>
                <c:pt idx="8">
                  <c:v>6.9518716577540107E-2</c:v>
                </c:pt>
                <c:pt idx="9">
                  <c:v>3.7433155080213901E-2</c:v>
                </c:pt>
                <c:pt idx="10">
                  <c:v>5.3475935828877002E-3</c:v>
                </c:pt>
                <c:pt idx="11">
                  <c:v>-2.1390374331550801E-2</c:v>
                </c:pt>
                <c:pt idx="12">
                  <c:v>-3.7433155080213901E-2</c:v>
                </c:pt>
                <c:pt idx="13">
                  <c:v>-5.8823529411764705E-2</c:v>
                </c:pt>
                <c:pt idx="14">
                  <c:v>-7.4866310160427801E-2</c:v>
                </c:pt>
                <c:pt idx="15">
                  <c:v>-8.5561497326203204E-2</c:v>
                </c:pt>
                <c:pt idx="16">
                  <c:v>-9.0909090909090912E-2</c:v>
                </c:pt>
                <c:pt idx="17">
                  <c:v>-8.5561497326203204E-2</c:v>
                </c:pt>
                <c:pt idx="18">
                  <c:v>-7.4866310160427801E-2</c:v>
                </c:pt>
                <c:pt idx="19">
                  <c:v>-5.8823529411764705E-2</c:v>
                </c:pt>
                <c:pt idx="20">
                  <c:v>-3.7433155080213901E-2</c:v>
                </c:pt>
                <c:pt idx="21">
                  <c:v>-1.6042780748663103E-2</c:v>
                </c:pt>
                <c:pt idx="22">
                  <c:v>0</c:v>
                </c:pt>
                <c:pt idx="23">
                  <c:v>1.6042780748663103E-2</c:v>
                </c:pt>
                <c:pt idx="24">
                  <c:v>3.2085561497326207E-2</c:v>
                </c:pt>
                <c:pt idx="25">
                  <c:v>4.2780748663101602E-2</c:v>
                </c:pt>
                <c:pt idx="26">
                  <c:v>5.3475935828877004E-2</c:v>
                </c:pt>
                <c:pt idx="27">
                  <c:v>6.4171122994652413E-2</c:v>
                </c:pt>
                <c:pt idx="28">
                  <c:v>6.4171122994652413E-2</c:v>
                </c:pt>
                <c:pt idx="29">
                  <c:v>5.8823529411764705E-2</c:v>
                </c:pt>
                <c:pt idx="30">
                  <c:v>4.8128342245989303E-2</c:v>
                </c:pt>
                <c:pt idx="31">
                  <c:v>3.2085561497326207E-2</c:v>
                </c:pt>
                <c:pt idx="32">
                  <c:v>1.6042780748663103E-2</c:v>
                </c:pt>
                <c:pt idx="33">
                  <c:v>0</c:v>
                </c:pt>
                <c:pt idx="34">
                  <c:v>-1.06951871657754E-2</c:v>
                </c:pt>
                <c:pt idx="35">
                  <c:v>-2.1390374331550801E-2</c:v>
                </c:pt>
                <c:pt idx="36">
                  <c:v>-3.2085561497326207E-2</c:v>
                </c:pt>
                <c:pt idx="37">
                  <c:v>-3.7433155080213901E-2</c:v>
                </c:pt>
                <c:pt idx="38">
                  <c:v>-4.8128342245989303E-2</c:v>
                </c:pt>
                <c:pt idx="39">
                  <c:v>-5.3475935828877004E-2</c:v>
                </c:pt>
                <c:pt idx="40">
                  <c:v>-5.3475935828877004E-2</c:v>
                </c:pt>
                <c:pt idx="41">
                  <c:v>-4.8128342245989303E-2</c:v>
                </c:pt>
                <c:pt idx="42">
                  <c:v>-3.7433155080213901E-2</c:v>
                </c:pt>
                <c:pt idx="43">
                  <c:v>-2.1390374331550801E-2</c:v>
                </c:pt>
                <c:pt idx="44">
                  <c:v>-1.06951871657754E-2</c:v>
                </c:pt>
                <c:pt idx="45">
                  <c:v>5.3475935828877002E-3</c:v>
                </c:pt>
                <c:pt idx="46">
                  <c:v>2.1390374331550801E-2</c:v>
                </c:pt>
                <c:pt idx="47">
                  <c:v>3.2085561497326207E-2</c:v>
                </c:pt>
                <c:pt idx="48">
                  <c:v>4.2780748663101602E-2</c:v>
                </c:pt>
                <c:pt idx="49">
                  <c:v>4.8128342245989303E-2</c:v>
                </c:pt>
                <c:pt idx="50">
                  <c:v>4.8128342245989303E-2</c:v>
                </c:pt>
                <c:pt idx="51">
                  <c:v>4.2780748663101602E-2</c:v>
                </c:pt>
                <c:pt idx="52">
                  <c:v>3.2085561497326207E-2</c:v>
                </c:pt>
                <c:pt idx="53">
                  <c:v>2.1390374331550801E-2</c:v>
                </c:pt>
                <c:pt idx="54">
                  <c:v>1.06951871657754E-2</c:v>
                </c:pt>
                <c:pt idx="55">
                  <c:v>5.3475935828877002E-3</c:v>
                </c:pt>
                <c:pt idx="56">
                  <c:v>0</c:v>
                </c:pt>
                <c:pt idx="57">
                  <c:v>-5.3475935828877002E-3</c:v>
                </c:pt>
                <c:pt idx="58">
                  <c:v>-5.3475935828877002E-3</c:v>
                </c:pt>
                <c:pt idx="59">
                  <c:v>-5.3475935828877002E-3</c:v>
                </c:pt>
                <c:pt idx="60">
                  <c:v>-1.06951871657754E-2</c:v>
                </c:pt>
                <c:pt idx="61">
                  <c:v>-1.06951871657754E-2</c:v>
                </c:pt>
                <c:pt idx="62">
                  <c:v>-1.06951871657754E-2</c:v>
                </c:pt>
                <c:pt idx="63">
                  <c:v>-1.06951871657754E-2</c:v>
                </c:pt>
                <c:pt idx="64">
                  <c:v>-1.06951871657754E-2</c:v>
                </c:pt>
                <c:pt idx="65">
                  <c:v>-1.06951871657754E-2</c:v>
                </c:pt>
                <c:pt idx="66">
                  <c:v>-1.06951871657754E-2</c:v>
                </c:pt>
                <c:pt idx="67">
                  <c:v>-1.06951871657754E-2</c:v>
                </c:pt>
                <c:pt idx="68">
                  <c:v>-1.06951871657754E-2</c:v>
                </c:pt>
                <c:pt idx="69">
                  <c:v>-1.06951871657754E-2</c:v>
                </c:pt>
                <c:pt idx="70">
                  <c:v>-1.06951871657754E-2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A6-4EE4-8614-46B83DB8F3AD}"/>
            </c:ext>
          </c:extLst>
        </c:ser>
        <c:ser>
          <c:idx val="0"/>
          <c:order val="14"/>
          <c:tx>
            <c:strRef>
              <c:f>Data!$O$1</c:f>
              <c:strCache>
                <c:ptCount val="1"/>
                <c:pt idx="0">
                  <c:v>dError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Data!$O$130:$O$200</c:f>
              <c:numCache>
                <c:formatCode>General</c:formatCode>
                <c:ptCount val="71"/>
                <c:pt idx="0">
                  <c:v>-1.6459999999999999</c:v>
                </c:pt>
                <c:pt idx="1">
                  <c:v>-2.1659999999999999</c:v>
                </c:pt>
                <c:pt idx="2">
                  <c:v>-2.9329999999999998</c:v>
                </c:pt>
                <c:pt idx="3">
                  <c:v>-2.83</c:v>
                </c:pt>
                <c:pt idx="4">
                  <c:v>-1.89</c:v>
                </c:pt>
                <c:pt idx="5">
                  <c:v>-0.75900000000000001</c:v>
                </c:pt>
                <c:pt idx="6">
                  <c:v>-8.5999999999999993E-2</c:v>
                </c:pt>
                <c:pt idx="7">
                  <c:v>0</c:v>
                </c:pt>
                <c:pt idx="8">
                  <c:v>-0.21199999999999999</c:v>
                </c:pt>
                <c:pt idx="9">
                  <c:v>-0.44</c:v>
                </c:pt>
                <c:pt idx="10">
                  <c:v>-0.45900000000000002</c:v>
                </c:pt>
                <c:pt idx="11">
                  <c:v>-0.441</c:v>
                </c:pt>
                <c:pt idx="12">
                  <c:v>-0.38</c:v>
                </c:pt>
                <c:pt idx="13">
                  <c:v>-0.23300000000000001</c:v>
                </c:pt>
                <c:pt idx="14">
                  <c:v>-0.26</c:v>
                </c:pt>
                <c:pt idx="15">
                  <c:v>-0.22600000000000001</c:v>
                </c:pt>
                <c:pt idx="16">
                  <c:v>-0.13100000000000001</c:v>
                </c:pt>
                <c:pt idx="17">
                  <c:v>-7.8E-2</c:v>
                </c:pt>
                <c:pt idx="18">
                  <c:v>7.5999999999999998E-2</c:v>
                </c:pt>
                <c:pt idx="19">
                  <c:v>0.14000000000000001</c:v>
                </c:pt>
                <c:pt idx="20">
                  <c:v>0.21199999999999999</c:v>
                </c:pt>
                <c:pt idx="21">
                  <c:v>0.30499999999999999</c:v>
                </c:pt>
                <c:pt idx="22">
                  <c:v>0.28100000000000003</c:v>
                </c:pt>
                <c:pt idx="23">
                  <c:v>0.22</c:v>
                </c:pt>
                <c:pt idx="24">
                  <c:v>0.214</c:v>
                </c:pt>
                <c:pt idx="25">
                  <c:v>0.22700000000000001</c:v>
                </c:pt>
                <c:pt idx="26">
                  <c:v>0.13800000000000001</c:v>
                </c:pt>
                <c:pt idx="27">
                  <c:v>0.13400000000000001</c:v>
                </c:pt>
                <c:pt idx="28">
                  <c:v>0.14699999999999999</c:v>
                </c:pt>
                <c:pt idx="29">
                  <c:v>0</c:v>
                </c:pt>
                <c:pt idx="30">
                  <c:v>-7.3999999999999996E-2</c:v>
                </c:pt>
                <c:pt idx="31">
                  <c:v>-0.14799999999999999</c:v>
                </c:pt>
                <c:pt idx="32">
                  <c:v>-0.22</c:v>
                </c:pt>
                <c:pt idx="33">
                  <c:v>-0.22</c:v>
                </c:pt>
                <c:pt idx="34">
                  <c:v>-0.215</c:v>
                </c:pt>
                <c:pt idx="35">
                  <c:v>-0.15</c:v>
                </c:pt>
                <c:pt idx="36">
                  <c:v>-0.152</c:v>
                </c:pt>
                <c:pt idx="37">
                  <c:v>-0.151</c:v>
                </c:pt>
                <c:pt idx="38">
                  <c:v>-7.5999999999999998E-2</c:v>
                </c:pt>
                <c:pt idx="39">
                  <c:v>-0.153</c:v>
                </c:pt>
                <c:pt idx="40">
                  <c:v>-7.5999999999999998E-2</c:v>
                </c:pt>
                <c:pt idx="41">
                  <c:v>0</c:v>
                </c:pt>
                <c:pt idx="42">
                  <c:v>7.2999999999999995E-2</c:v>
                </c:pt>
                <c:pt idx="43">
                  <c:v>0.14599999999999999</c:v>
                </c:pt>
                <c:pt idx="44">
                  <c:v>0.22600000000000001</c:v>
                </c:pt>
                <c:pt idx="45">
                  <c:v>0.13</c:v>
                </c:pt>
                <c:pt idx="46">
                  <c:v>0.20699999999999999</c:v>
                </c:pt>
                <c:pt idx="47">
                  <c:v>0.214</c:v>
                </c:pt>
                <c:pt idx="48">
                  <c:v>0.14899999999999999</c:v>
                </c:pt>
                <c:pt idx="49">
                  <c:v>0.14399999999999999</c:v>
                </c:pt>
                <c:pt idx="50">
                  <c:v>7.3999999999999996E-2</c:v>
                </c:pt>
                <c:pt idx="51">
                  <c:v>0</c:v>
                </c:pt>
                <c:pt idx="52">
                  <c:v>-7.3999999999999996E-2</c:v>
                </c:pt>
                <c:pt idx="53">
                  <c:v>-0.17699999999999999</c:v>
                </c:pt>
                <c:pt idx="54">
                  <c:v>-0.17399999999999999</c:v>
                </c:pt>
                <c:pt idx="55">
                  <c:v>-0.16800000000000001</c:v>
                </c:pt>
                <c:pt idx="56">
                  <c:v>-8.2000000000000003E-2</c:v>
                </c:pt>
                <c:pt idx="57">
                  <c:v>-8.2000000000000003E-2</c:v>
                </c:pt>
                <c:pt idx="58">
                  <c:v>-8.2000000000000003E-2</c:v>
                </c:pt>
                <c:pt idx="59">
                  <c:v>0</c:v>
                </c:pt>
                <c:pt idx="60">
                  <c:v>0</c:v>
                </c:pt>
                <c:pt idx="61">
                  <c:v>-6.0999999999999999E-2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CA6-4EE4-8614-46B83DB8F3AD}"/>
            </c:ext>
          </c:extLst>
        </c:ser>
        <c:ser>
          <c:idx val="15"/>
          <c:order val="15"/>
          <c:tx>
            <c:strRef>
              <c:f>Data!$AU$1</c:f>
              <c:strCache>
                <c:ptCount val="1"/>
                <c:pt idx="0">
                  <c:v>Error Speed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Data!$AU$130:$AU$200</c:f>
              <c:numCache>
                <c:formatCode>0.000</c:formatCode>
                <c:ptCount val="71"/>
                <c:pt idx="0">
                  <c:v>-1.5505141178390849</c:v>
                </c:pt>
                <c:pt idx="1">
                  <c:v>-2.1739130434782483</c:v>
                </c:pt>
                <c:pt idx="2">
                  <c:v>-2.8190671450538418</c:v>
                </c:pt>
                <c:pt idx="3">
                  <c:v>-1.8584220307484427</c:v>
                </c:pt>
                <c:pt idx="4">
                  <c:v>-0.77760497667184603</c:v>
                </c:pt>
                <c:pt idx="5">
                  <c:v>-8.3963056255247109E-2</c:v>
                </c:pt>
                <c:pt idx="6">
                  <c:v>0</c:v>
                </c:pt>
                <c:pt idx="7">
                  <c:v>-0.2397123451857795</c:v>
                </c:pt>
                <c:pt idx="8">
                  <c:v>-0.42075736325385721</c:v>
                </c:pt>
                <c:pt idx="9">
                  <c:v>-0.42860204300307092</c:v>
                </c:pt>
                <c:pt idx="10">
                  <c:v>-0.43968928623772668</c:v>
                </c:pt>
                <c:pt idx="11">
                  <c:v>-0.37792894935752025</c:v>
                </c:pt>
                <c:pt idx="12">
                  <c:v>-0.2283800243605365</c:v>
                </c:pt>
                <c:pt idx="13">
                  <c:v>-0.27523567054289994</c:v>
                </c:pt>
                <c:pt idx="14">
                  <c:v>-0.22029666617711952</c:v>
                </c:pt>
                <c:pt idx="15">
                  <c:v>-0.13891783010349443</c:v>
                </c:pt>
                <c:pt idx="16">
                  <c:v>-7.0581592320722156E-2</c:v>
                </c:pt>
                <c:pt idx="17">
                  <c:v>8.0932340563289129E-2</c:v>
                </c:pt>
                <c:pt idx="18">
                  <c:v>0.14477017734346667</c:v>
                </c:pt>
                <c:pt idx="19">
                  <c:v>0.21276595744680987</c:v>
                </c:pt>
                <c:pt idx="20">
                  <c:v>0.2875835789776382</c:v>
                </c:pt>
                <c:pt idx="21">
                  <c:v>0.28593895203374015</c:v>
                </c:pt>
                <c:pt idx="22">
                  <c:v>0.22384718698701614</c:v>
                </c:pt>
                <c:pt idx="23">
                  <c:v>0.21269053527118015</c:v>
                </c:pt>
                <c:pt idx="24">
                  <c:v>0.2220248667850846</c:v>
                </c:pt>
                <c:pt idx="25">
                  <c:v>0.13489815189531884</c:v>
                </c:pt>
                <c:pt idx="26">
                  <c:v>0.14667057788207721</c:v>
                </c:pt>
                <c:pt idx="27">
                  <c:v>0.13903371567604933</c:v>
                </c:pt>
                <c:pt idx="28">
                  <c:v>0</c:v>
                </c:pt>
                <c:pt idx="29">
                  <c:v>-7.5500188750472499E-2</c:v>
                </c:pt>
                <c:pt idx="30">
                  <c:v>-0.14721036360959552</c:v>
                </c:pt>
                <c:pt idx="31">
                  <c:v>-0.22328073831497222</c:v>
                </c:pt>
                <c:pt idx="32">
                  <c:v>-0.21862702229996023</c:v>
                </c:pt>
                <c:pt idx="33">
                  <c:v>-0.21756472550583461</c:v>
                </c:pt>
                <c:pt idx="34">
                  <c:v>-0.14631648255176086</c:v>
                </c:pt>
                <c:pt idx="35">
                  <c:v>-0.15057973196807536</c:v>
                </c:pt>
                <c:pt idx="36">
                  <c:v>-0.15247388884653812</c:v>
                </c:pt>
                <c:pt idx="37">
                  <c:v>-7.5244544770504351E-2</c:v>
                </c:pt>
                <c:pt idx="38">
                  <c:v>-0.14943215780035848</c:v>
                </c:pt>
                <c:pt idx="39">
                  <c:v>-7.8192196418796087E-2</c:v>
                </c:pt>
                <c:pt idx="40">
                  <c:v>0</c:v>
                </c:pt>
                <c:pt idx="41">
                  <c:v>7.1906234270510461E-2</c:v>
                </c:pt>
                <c:pt idx="42">
                  <c:v>0.14440433212996484</c:v>
                </c:pt>
                <c:pt idx="43">
                  <c:v>0.22102703897442932</c:v>
                </c:pt>
                <c:pt idx="44">
                  <c:v>0.13946028868279861</c:v>
                </c:pt>
                <c:pt idx="45">
                  <c:v>0.20525451559934338</c:v>
                </c:pt>
                <c:pt idx="46">
                  <c:v>0.20456870098874924</c:v>
                </c:pt>
                <c:pt idx="47">
                  <c:v>0.14947683109117965</c:v>
                </c:pt>
                <c:pt idx="48">
                  <c:v>0.14194464158978309</c:v>
                </c:pt>
                <c:pt idx="49">
                  <c:v>7.4521201281762858E-2</c:v>
                </c:pt>
                <c:pt idx="50">
                  <c:v>0</c:v>
                </c:pt>
                <c:pt idx="51">
                  <c:v>-7.6657723265621258E-2</c:v>
                </c:pt>
                <c:pt idx="52">
                  <c:v>-0.14825796886582393</c:v>
                </c:pt>
                <c:pt idx="53">
                  <c:v>-0.17694417411306915</c:v>
                </c:pt>
                <c:pt idx="54">
                  <c:v>-0.17394329448599685</c:v>
                </c:pt>
                <c:pt idx="55">
                  <c:v>-8.1752779594506414E-2</c:v>
                </c:pt>
                <c:pt idx="56">
                  <c:v>-7.9032640480516905E-2</c:v>
                </c:pt>
                <c:pt idx="57">
                  <c:v>-8.3063377356924983E-2</c:v>
                </c:pt>
                <c:pt idx="58">
                  <c:v>0</c:v>
                </c:pt>
                <c:pt idx="59">
                  <c:v>0</c:v>
                </c:pt>
                <c:pt idx="60">
                  <c:v>-8.2020997375328031E-2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2-499A-846F-8BD1240B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279087"/>
        <c:axId val="976282927"/>
        <c:extLst>
          <c:ext xmlns:c15="http://schemas.microsoft.com/office/drawing/2012/chart" uri="{02D57815-91ED-43cb-92C2-25804820EDAC}">
            <c15:filteredLineSeries>
              <c15:ser>
                <c:idx val="11"/>
                <c:order val="12"/>
                <c:tx>
                  <c:strRef>
                    <c:extLst>
                      <c:ext uri="{02D57815-91ED-43cb-92C2-25804820EDAC}">
                        <c15:formulaRef>
                          <c15:sqref>Data!$AS$1</c15:sqref>
                        </c15:formulaRef>
                      </c:ext>
                    </c:extLst>
                    <c:strCache>
                      <c:ptCount val="1"/>
                      <c:pt idx="0">
                        <c:v>Catch-up (100ms)</c:v>
                      </c:pt>
                    </c:strCache>
                  </c:strRef>
                </c:tx>
                <c:spPr>
                  <a:ln w="25400" cap="rnd">
                    <a:solidFill>
                      <a:srgbClr val="92028B"/>
                    </a:solidFill>
                    <a:prstDash val="dashDot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Data!$S$2:$S$1578</c15:sqref>
                        </c15:formulaRef>
                      </c:ext>
                    </c:extLst>
                    <c:numCache>
                      <c:formatCode>#,##0</c:formatCode>
                      <c:ptCount val="1577"/>
                      <c:pt idx="0" formatCode="General">
                        <c:v>9.1159999999999997</c:v>
                      </c:pt>
                      <c:pt idx="1">
                        <c:v>25.126999999999999</c:v>
                      </c:pt>
                      <c:pt idx="2">
                        <c:v>41.725999999999999</c:v>
                      </c:pt>
                      <c:pt idx="3">
                        <c:v>58.390999999999998</c:v>
                      </c:pt>
                      <c:pt idx="4">
                        <c:v>76.775000000000006</c:v>
                      </c:pt>
                      <c:pt idx="5">
                        <c:v>94.019000000000005</c:v>
                      </c:pt>
                      <c:pt idx="6">
                        <c:v>110.72</c:v>
                      </c:pt>
                      <c:pt idx="7">
                        <c:v>127.133</c:v>
                      </c:pt>
                      <c:pt idx="8">
                        <c:v>142.863</c:v>
                      </c:pt>
                      <c:pt idx="9">
                        <c:v>159.91</c:v>
                      </c:pt>
                      <c:pt idx="10">
                        <c:v>176.518</c:v>
                      </c:pt>
                      <c:pt idx="11">
                        <c:v>189.03800000000001</c:v>
                      </c:pt>
                      <c:pt idx="12">
                        <c:v>201.697</c:v>
                      </c:pt>
                      <c:pt idx="13">
                        <c:v>214.48099999999999</c:v>
                      </c:pt>
                      <c:pt idx="14">
                        <c:v>227.10400000000001</c:v>
                      </c:pt>
                      <c:pt idx="15">
                        <c:v>239.245</c:v>
                      </c:pt>
                      <c:pt idx="16">
                        <c:v>251.73699999999999</c:v>
                      </c:pt>
                      <c:pt idx="17">
                        <c:v>264.67599999999999</c:v>
                      </c:pt>
                      <c:pt idx="18">
                        <c:v>277.81799999999998</c:v>
                      </c:pt>
                      <c:pt idx="19">
                        <c:v>291.26799999999997</c:v>
                      </c:pt>
                      <c:pt idx="20">
                        <c:v>303.74900000000002</c:v>
                      </c:pt>
                      <c:pt idx="21">
                        <c:v>315.96899999999999</c:v>
                      </c:pt>
                      <c:pt idx="22">
                        <c:v>327.89100000000002</c:v>
                      </c:pt>
                      <c:pt idx="23">
                        <c:v>339.85300000000001</c:v>
                      </c:pt>
                      <c:pt idx="24">
                        <c:v>352.69099999999997</c:v>
                      </c:pt>
                      <c:pt idx="25">
                        <c:v>364.52</c:v>
                      </c:pt>
                      <c:pt idx="26">
                        <c:v>376.17599999999999</c:v>
                      </c:pt>
                      <c:pt idx="27">
                        <c:v>387.89800000000002</c:v>
                      </c:pt>
                      <c:pt idx="28">
                        <c:v>401.71300000000002</c:v>
                      </c:pt>
                      <c:pt idx="29">
                        <c:v>415.24</c:v>
                      </c:pt>
                      <c:pt idx="30">
                        <c:v>429.83100000000002</c:v>
                      </c:pt>
                      <c:pt idx="31">
                        <c:v>443.34800000000001</c:v>
                      </c:pt>
                      <c:pt idx="32">
                        <c:v>460.75799999999998</c:v>
                      </c:pt>
                      <c:pt idx="33">
                        <c:v>477.291</c:v>
                      </c:pt>
                      <c:pt idx="34">
                        <c:v>492.06299999999999</c:v>
                      </c:pt>
                      <c:pt idx="35">
                        <c:v>508.08499999999998</c:v>
                      </c:pt>
                      <c:pt idx="36">
                        <c:v>521.38300000000004</c:v>
                      </c:pt>
                      <c:pt idx="37">
                        <c:v>535.69000000000005</c:v>
                      </c:pt>
                      <c:pt idx="38">
                        <c:v>547.85400000000004</c:v>
                      </c:pt>
                      <c:pt idx="39">
                        <c:v>561.40499999999997</c:v>
                      </c:pt>
                      <c:pt idx="40">
                        <c:v>576.49400000000003</c:v>
                      </c:pt>
                      <c:pt idx="41">
                        <c:v>590.90200000000004</c:v>
                      </c:pt>
                      <c:pt idx="42">
                        <c:v>604.27700000000004</c:v>
                      </c:pt>
                      <c:pt idx="43">
                        <c:v>617.726</c:v>
                      </c:pt>
                      <c:pt idx="44">
                        <c:v>629.39499999999998</c:v>
                      </c:pt>
                      <c:pt idx="45">
                        <c:v>643.27</c:v>
                      </c:pt>
                      <c:pt idx="46">
                        <c:v>657.66600000000005</c:v>
                      </c:pt>
                      <c:pt idx="47">
                        <c:v>671.36</c:v>
                      </c:pt>
                      <c:pt idx="48">
                        <c:v>685.32500000000005</c:v>
                      </c:pt>
                      <c:pt idx="49">
                        <c:v>699.22900000000004</c:v>
                      </c:pt>
                      <c:pt idx="50">
                        <c:v>713.851</c:v>
                      </c:pt>
                      <c:pt idx="51">
                        <c:v>729.20699999999999</c:v>
                      </c:pt>
                      <c:pt idx="52">
                        <c:v>744.71199999999999</c:v>
                      </c:pt>
                      <c:pt idx="53">
                        <c:v>758.15800000000002</c:v>
                      </c:pt>
                      <c:pt idx="54">
                        <c:v>771.18399999999997</c:v>
                      </c:pt>
                      <c:pt idx="55">
                        <c:v>784.05499999999995</c:v>
                      </c:pt>
                      <c:pt idx="56">
                        <c:v>797.20799999999997</c:v>
                      </c:pt>
                      <c:pt idx="57">
                        <c:v>810.82</c:v>
                      </c:pt>
                      <c:pt idx="58">
                        <c:v>823.76800000000003</c:v>
                      </c:pt>
                      <c:pt idx="59">
                        <c:v>837.46799999999996</c:v>
                      </c:pt>
                      <c:pt idx="60">
                        <c:v>850.774</c:v>
                      </c:pt>
                      <c:pt idx="61">
                        <c:v>865.27200000000005</c:v>
                      </c:pt>
                      <c:pt idx="62">
                        <c:v>879.96199999999999</c:v>
                      </c:pt>
                      <c:pt idx="63">
                        <c:v>894.21299999999997</c:v>
                      </c:pt>
                      <c:pt idx="64">
                        <c:v>908.35599999999999</c:v>
                      </c:pt>
                      <c:pt idx="65">
                        <c:v>925.19600000000003</c:v>
                      </c:pt>
                      <c:pt idx="66">
                        <c:v>940.41200000000003</c:v>
                      </c:pt>
                      <c:pt idx="67">
                        <c:v>955.10599999999999</c:v>
                      </c:pt>
                      <c:pt idx="68">
                        <c:v>970.84699999999998</c:v>
                      </c:pt>
                      <c:pt idx="69">
                        <c:v>985.548</c:v>
                      </c:pt>
                      <c:pt idx="70">
                        <c:v>999.66200000000003</c:v>
                      </c:pt>
                      <c:pt idx="71">
                        <c:v>1017.202</c:v>
                      </c:pt>
                      <c:pt idx="72">
                        <c:v>1031.598</c:v>
                      </c:pt>
                      <c:pt idx="73">
                        <c:v>1046.2070000000001</c:v>
                      </c:pt>
                      <c:pt idx="74">
                        <c:v>1060.8889999999999</c:v>
                      </c:pt>
                      <c:pt idx="75">
                        <c:v>1075.7529999999999</c:v>
                      </c:pt>
                      <c:pt idx="76">
                        <c:v>1089.674</c:v>
                      </c:pt>
                      <c:pt idx="77">
                        <c:v>1103.9290000000001</c:v>
                      </c:pt>
                      <c:pt idx="78">
                        <c:v>1117.914</c:v>
                      </c:pt>
                      <c:pt idx="79">
                        <c:v>1132.4290000000001</c:v>
                      </c:pt>
                      <c:pt idx="80">
                        <c:v>1147.057</c:v>
                      </c:pt>
                      <c:pt idx="81">
                        <c:v>1164.6690000000001</c:v>
                      </c:pt>
                      <c:pt idx="82">
                        <c:v>1179.7380000000001</c:v>
                      </c:pt>
                      <c:pt idx="83">
                        <c:v>1194.498</c:v>
                      </c:pt>
                      <c:pt idx="84">
                        <c:v>1209.5329999999999</c:v>
                      </c:pt>
                      <c:pt idx="85">
                        <c:v>1225.0139999999999</c:v>
                      </c:pt>
                      <c:pt idx="86">
                        <c:v>1239.1790000000001</c:v>
                      </c:pt>
                      <c:pt idx="87">
                        <c:v>1252.8720000000001</c:v>
                      </c:pt>
                      <c:pt idx="88">
                        <c:v>1266.165</c:v>
                      </c:pt>
                      <c:pt idx="89">
                        <c:v>1279.018</c:v>
                      </c:pt>
                      <c:pt idx="90">
                        <c:v>1292.4680000000001</c:v>
                      </c:pt>
                      <c:pt idx="91">
                        <c:v>1305.5150000000001</c:v>
                      </c:pt>
                      <c:pt idx="92">
                        <c:v>1318.538</c:v>
                      </c:pt>
                      <c:pt idx="93">
                        <c:v>1331.7270000000001</c:v>
                      </c:pt>
                      <c:pt idx="94">
                        <c:v>1346.44</c:v>
                      </c:pt>
                      <c:pt idx="95">
                        <c:v>1362.9939999999999</c:v>
                      </c:pt>
                      <c:pt idx="96">
                        <c:v>1378.204</c:v>
                      </c:pt>
                      <c:pt idx="97">
                        <c:v>1392.172</c:v>
                      </c:pt>
                      <c:pt idx="98">
                        <c:v>1408.347</c:v>
                      </c:pt>
                      <c:pt idx="99">
                        <c:v>1423.6659999999999</c:v>
                      </c:pt>
                      <c:pt idx="100">
                        <c:v>1437.915</c:v>
                      </c:pt>
                      <c:pt idx="101">
                        <c:v>1451.499</c:v>
                      </c:pt>
                      <c:pt idx="102">
                        <c:v>1464.6010000000001</c:v>
                      </c:pt>
                      <c:pt idx="103">
                        <c:v>1480.941</c:v>
                      </c:pt>
                      <c:pt idx="104">
                        <c:v>1495.8979999999999</c:v>
                      </c:pt>
                      <c:pt idx="105">
                        <c:v>1509.8510000000001</c:v>
                      </c:pt>
                      <c:pt idx="106">
                        <c:v>1525.876</c:v>
                      </c:pt>
                      <c:pt idx="107">
                        <c:v>1540.104</c:v>
                      </c:pt>
                      <c:pt idx="108">
                        <c:v>1555.2750000000001</c:v>
                      </c:pt>
                      <c:pt idx="109">
                        <c:v>1569.329</c:v>
                      </c:pt>
                      <c:pt idx="110">
                        <c:v>1583.432</c:v>
                      </c:pt>
                      <c:pt idx="111">
                        <c:v>1597.577</c:v>
                      </c:pt>
                      <c:pt idx="112">
                        <c:v>1611.454</c:v>
                      </c:pt>
                      <c:pt idx="113">
                        <c:v>1625.4639999999999</c:v>
                      </c:pt>
                      <c:pt idx="114">
                        <c:v>1637.6089999999999</c:v>
                      </c:pt>
                      <c:pt idx="115">
                        <c:v>1649.576</c:v>
                      </c:pt>
                      <c:pt idx="116">
                        <c:v>1664.7829999999999</c:v>
                      </c:pt>
                      <c:pt idx="117">
                        <c:v>1682.164</c:v>
                      </c:pt>
                      <c:pt idx="118">
                        <c:v>1695.635</c:v>
                      </c:pt>
                      <c:pt idx="119">
                        <c:v>1707.8430000000001</c:v>
                      </c:pt>
                      <c:pt idx="120">
                        <c:v>1720.9179999999999</c:v>
                      </c:pt>
                      <c:pt idx="121">
                        <c:v>1734.0350000000001</c:v>
                      </c:pt>
                      <c:pt idx="122">
                        <c:v>1747.31</c:v>
                      </c:pt>
                      <c:pt idx="123">
                        <c:v>1762.86</c:v>
                      </c:pt>
                      <c:pt idx="124">
                        <c:v>1775.598</c:v>
                      </c:pt>
                      <c:pt idx="125">
                        <c:v>1788.511</c:v>
                      </c:pt>
                      <c:pt idx="126">
                        <c:v>1801.155</c:v>
                      </c:pt>
                      <c:pt idx="127">
                        <c:v>1813.671</c:v>
                      </c:pt>
                      <c:pt idx="128">
                        <c:v>1825.925</c:v>
                      </c:pt>
                      <c:pt idx="129">
                        <c:v>1838.345</c:v>
                      </c:pt>
                      <c:pt idx="130">
                        <c:v>1850.0509999999999</c:v>
                      </c:pt>
                      <c:pt idx="131">
                        <c:v>1861.8889999999999</c:v>
                      </c:pt>
                      <c:pt idx="132">
                        <c:v>1873.463</c:v>
                      </c:pt>
                      <c:pt idx="133">
                        <c:v>1885.373</c:v>
                      </c:pt>
                      <c:pt idx="134">
                        <c:v>1897.4970000000001</c:v>
                      </c:pt>
                      <c:pt idx="135">
                        <c:v>1910.0119999999999</c:v>
                      </c:pt>
                      <c:pt idx="136">
                        <c:v>1924.2719999999999</c:v>
                      </c:pt>
                      <c:pt idx="137">
                        <c:v>1938.271</c:v>
                      </c:pt>
                      <c:pt idx="138">
                        <c:v>1951.9169999999999</c:v>
                      </c:pt>
                      <c:pt idx="139">
                        <c:v>1965.1469999999999</c:v>
                      </c:pt>
                      <c:pt idx="140">
                        <c:v>1978.2829999999999</c:v>
                      </c:pt>
                      <c:pt idx="141">
                        <c:v>1992.816</c:v>
                      </c:pt>
                      <c:pt idx="142">
                        <c:v>2006.434</c:v>
                      </c:pt>
                      <c:pt idx="143">
                        <c:v>2020.8309999999999</c:v>
                      </c:pt>
                      <c:pt idx="144">
                        <c:v>2034.999</c:v>
                      </c:pt>
                      <c:pt idx="145">
                        <c:v>2047.355</c:v>
                      </c:pt>
                      <c:pt idx="146">
                        <c:v>2061.17</c:v>
                      </c:pt>
                      <c:pt idx="147">
                        <c:v>2075.27</c:v>
                      </c:pt>
                      <c:pt idx="148">
                        <c:v>2089.1790000000001</c:v>
                      </c:pt>
                      <c:pt idx="149">
                        <c:v>2103.1680000000001</c:v>
                      </c:pt>
                      <c:pt idx="150">
                        <c:v>2116.5700000000002</c:v>
                      </c:pt>
                      <c:pt idx="151">
                        <c:v>2130.6750000000002</c:v>
                      </c:pt>
                      <c:pt idx="152">
                        <c:v>2144.1869999999999</c:v>
                      </c:pt>
                      <c:pt idx="153">
                        <c:v>2159.0129999999999</c:v>
                      </c:pt>
                      <c:pt idx="154">
                        <c:v>2172.6489999999999</c:v>
                      </c:pt>
                      <c:pt idx="155">
                        <c:v>2187.0340000000001</c:v>
                      </c:pt>
                      <c:pt idx="156">
                        <c:v>2200.5909999999999</c:v>
                      </c:pt>
                      <c:pt idx="157">
                        <c:v>2213.8359999999998</c:v>
                      </c:pt>
                      <c:pt idx="158">
                        <c:v>2227.422</c:v>
                      </c:pt>
                      <c:pt idx="159">
                        <c:v>2240.8580000000002</c:v>
                      </c:pt>
                      <c:pt idx="160">
                        <c:v>2254.58</c:v>
                      </c:pt>
                      <c:pt idx="161">
                        <c:v>2268.3690000000001</c:v>
                      </c:pt>
                      <c:pt idx="162">
                        <c:v>2282.038</c:v>
                      </c:pt>
                      <c:pt idx="163">
                        <c:v>2295.3200000000002</c:v>
                      </c:pt>
                      <c:pt idx="164">
                        <c:v>2308.4369999999999</c:v>
                      </c:pt>
                      <c:pt idx="165">
                        <c:v>2321.7269999999999</c:v>
                      </c:pt>
                      <c:pt idx="166">
                        <c:v>2335.1109999999999</c:v>
                      </c:pt>
                      <c:pt idx="167">
                        <c:v>2347.9</c:v>
                      </c:pt>
                      <c:pt idx="168">
                        <c:v>2361.3739999999998</c:v>
                      </c:pt>
                      <c:pt idx="169">
                        <c:v>2375.2809999999999</c:v>
                      </c:pt>
                      <c:pt idx="170">
                        <c:v>2389.1309999999999</c:v>
                      </c:pt>
                      <c:pt idx="171">
                        <c:v>2402.7040000000002</c:v>
                      </c:pt>
                      <c:pt idx="172">
                        <c:v>2417.0450000000001</c:v>
                      </c:pt>
                      <c:pt idx="173">
                        <c:v>2431.6610000000001</c:v>
                      </c:pt>
                      <c:pt idx="174">
                        <c:v>2446.326</c:v>
                      </c:pt>
                      <c:pt idx="175">
                        <c:v>2459.7060000000001</c:v>
                      </c:pt>
                      <c:pt idx="176">
                        <c:v>2473.7959999999998</c:v>
                      </c:pt>
                      <c:pt idx="177">
                        <c:v>2487.2150000000001</c:v>
                      </c:pt>
                      <c:pt idx="178">
                        <c:v>2502.5590000000002</c:v>
                      </c:pt>
                      <c:pt idx="179">
                        <c:v>2515.6039999999998</c:v>
                      </c:pt>
                      <c:pt idx="180">
                        <c:v>2529.0940000000001</c:v>
                      </c:pt>
                      <c:pt idx="181">
                        <c:v>2540.3969999999999</c:v>
                      </c:pt>
                      <c:pt idx="182">
                        <c:v>2551.895</c:v>
                      </c:pt>
                      <c:pt idx="183">
                        <c:v>2564.127</c:v>
                      </c:pt>
                      <c:pt idx="184">
                        <c:v>2576.7800000000002</c:v>
                      </c:pt>
                      <c:pt idx="185">
                        <c:v>2588.819</c:v>
                      </c:pt>
                      <c:pt idx="186">
                        <c:v>2600.797</c:v>
                      </c:pt>
                      <c:pt idx="187">
                        <c:v>2612.8539999999998</c:v>
                      </c:pt>
                      <c:pt idx="188">
                        <c:v>2625.0459999999998</c:v>
                      </c:pt>
                      <c:pt idx="189">
                        <c:v>2641.9110000000001</c:v>
                      </c:pt>
                      <c:pt idx="190">
                        <c:v>2660.431</c:v>
                      </c:pt>
                      <c:pt idx="191">
                        <c:v>2672.93</c:v>
                      </c:pt>
                      <c:pt idx="192">
                        <c:v>2685.3780000000002</c:v>
                      </c:pt>
                      <c:pt idx="193">
                        <c:v>2696.0810000000001</c:v>
                      </c:pt>
                      <c:pt idx="194">
                        <c:v>2707.0210000000002</c:v>
                      </c:pt>
                      <c:pt idx="195">
                        <c:v>2717.9859999999999</c:v>
                      </c:pt>
                      <c:pt idx="196">
                        <c:v>2728.665</c:v>
                      </c:pt>
                      <c:pt idx="197">
                        <c:v>2740.7310000000002</c:v>
                      </c:pt>
                      <c:pt idx="198">
                        <c:v>2752.0859999999998</c:v>
                      </c:pt>
                      <c:pt idx="199">
                        <c:v>2762.7710000000002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Data!$AS$130:$AS$200</c15:sqref>
                        </c15:formulaRef>
                      </c:ext>
                    </c:extLst>
                    <c:numCache>
                      <c:formatCode>0.000</c:formatCode>
                      <c:ptCount val="71"/>
                      <c:pt idx="0">
                        <c:v>0.38604808669150015</c:v>
                      </c:pt>
                      <c:pt idx="1">
                        <c:v>0.29461564510667115</c:v>
                      </c:pt>
                      <c:pt idx="2">
                        <c:v>0.18286488316965796</c:v>
                      </c:pt>
                      <c:pt idx="3">
                        <c:v>0.10836437521164917</c:v>
                      </c:pt>
                      <c:pt idx="4">
                        <c:v>7.7886894683372843E-2</c:v>
                      </c:pt>
                      <c:pt idx="5">
                        <c:v>7.4500507958008805E-2</c:v>
                      </c:pt>
                      <c:pt idx="6">
                        <c:v>7.4500507958008805E-2</c:v>
                      </c:pt>
                      <c:pt idx="7">
                        <c:v>6.4341347781916691E-2</c:v>
                      </c:pt>
                      <c:pt idx="8">
                        <c:v>4.4023027429732471E-2</c:v>
                      </c:pt>
                      <c:pt idx="9">
                        <c:v>2.3704707077548254E-2</c:v>
                      </c:pt>
                      <c:pt idx="10">
                        <c:v>3.3863867253640365E-3</c:v>
                      </c:pt>
                      <c:pt idx="11">
                        <c:v>-1.3545546901456146E-2</c:v>
                      </c:pt>
                      <c:pt idx="12">
                        <c:v>-2.3704707077548254E-2</c:v>
                      </c:pt>
                      <c:pt idx="13">
                        <c:v>-3.7250253979004402E-2</c:v>
                      </c:pt>
                      <c:pt idx="14">
                        <c:v>-4.7409414155096509E-2</c:v>
                      </c:pt>
                      <c:pt idx="15">
                        <c:v>-5.4182187605824585E-2</c:v>
                      </c:pt>
                      <c:pt idx="16">
                        <c:v>-5.7568574331188622E-2</c:v>
                      </c:pt>
                      <c:pt idx="17">
                        <c:v>-5.4182187605824585E-2</c:v>
                      </c:pt>
                      <c:pt idx="18">
                        <c:v>-4.7409414155096509E-2</c:v>
                      </c:pt>
                      <c:pt idx="19">
                        <c:v>-3.7250253979004402E-2</c:v>
                      </c:pt>
                      <c:pt idx="20">
                        <c:v>-2.3704707077548254E-2</c:v>
                      </c:pt>
                      <c:pt idx="21">
                        <c:v>-1.015916017609211E-2</c:v>
                      </c:pt>
                      <c:pt idx="22">
                        <c:v>0</c:v>
                      </c:pt>
                      <c:pt idx="23">
                        <c:v>1.015916017609211E-2</c:v>
                      </c:pt>
                      <c:pt idx="24">
                        <c:v>2.031832035218422E-2</c:v>
                      </c:pt>
                      <c:pt idx="25">
                        <c:v>2.7091093802912292E-2</c:v>
                      </c:pt>
                      <c:pt idx="26">
                        <c:v>3.3863867253640365E-2</c:v>
                      </c:pt>
                      <c:pt idx="27">
                        <c:v>4.063664070436844E-2</c:v>
                      </c:pt>
                      <c:pt idx="28">
                        <c:v>4.063664070436844E-2</c:v>
                      </c:pt>
                      <c:pt idx="29">
                        <c:v>3.7250253979004402E-2</c:v>
                      </c:pt>
                      <c:pt idx="30">
                        <c:v>3.0477480528276327E-2</c:v>
                      </c:pt>
                      <c:pt idx="31">
                        <c:v>2.031832035218422E-2</c:v>
                      </c:pt>
                      <c:pt idx="32">
                        <c:v>1.015916017609211E-2</c:v>
                      </c:pt>
                      <c:pt idx="33">
                        <c:v>0</c:v>
                      </c:pt>
                      <c:pt idx="34">
                        <c:v>-6.7727734507280731E-3</c:v>
                      </c:pt>
                      <c:pt idx="35">
                        <c:v>-1.3545546901456146E-2</c:v>
                      </c:pt>
                      <c:pt idx="36">
                        <c:v>-2.031832035218422E-2</c:v>
                      </c:pt>
                      <c:pt idx="37">
                        <c:v>-2.3704707077548254E-2</c:v>
                      </c:pt>
                      <c:pt idx="38">
                        <c:v>-3.0477480528276327E-2</c:v>
                      </c:pt>
                      <c:pt idx="39">
                        <c:v>-3.3863867253640365E-2</c:v>
                      </c:pt>
                      <c:pt idx="40">
                        <c:v>-3.3863867253640365E-2</c:v>
                      </c:pt>
                      <c:pt idx="41">
                        <c:v>-3.0477480528276327E-2</c:v>
                      </c:pt>
                      <c:pt idx="42">
                        <c:v>-2.3704707077548254E-2</c:v>
                      </c:pt>
                      <c:pt idx="43">
                        <c:v>-1.3545546901456146E-2</c:v>
                      </c:pt>
                      <c:pt idx="44">
                        <c:v>-6.7727734507280731E-3</c:v>
                      </c:pt>
                      <c:pt idx="45">
                        <c:v>3.3863867253640365E-3</c:v>
                      </c:pt>
                      <c:pt idx="46">
                        <c:v>1.3545546901456146E-2</c:v>
                      </c:pt>
                      <c:pt idx="47">
                        <c:v>2.031832035218422E-2</c:v>
                      </c:pt>
                      <c:pt idx="48">
                        <c:v>2.7091093802912292E-2</c:v>
                      </c:pt>
                      <c:pt idx="49">
                        <c:v>3.0477480528276327E-2</c:v>
                      </c:pt>
                      <c:pt idx="50">
                        <c:v>3.0477480528276327E-2</c:v>
                      </c:pt>
                      <c:pt idx="51">
                        <c:v>2.7091093802912292E-2</c:v>
                      </c:pt>
                      <c:pt idx="52">
                        <c:v>2.031832035218422E-2</c:v>
                      </c:pt>
                      <c:pt idx="53">
                        <c:v>1.3545546901456146E-2</c:v>
                      </c:pt>
                      <c:pt idx="54">
                        <c:v>6.7727734507280731E-3</c:v>
                      </c:pt>
                      <c:pt idx="55">
                        <c:v>3.3863867253640365E-3</c:v>
                      </c:pt>
                      <c:pt idx="56">
                        <c:v>0</c:v>
                      </c:pt>
                      <c:pt idx="57">
                        <c:v>-3.3863867253640365E-3</c:v>
                      </c:pt>
                      <c:pt idx="58">
                        <c:v>-3.3863867253640365E-3</c:v>
                      </c:pt>
                      <c:pt idx="59">
                        <c:v>-3.3863867253640365E-3</c:v>
                      </c:pt>
                      <c:pt idx="60">
                        <c:v>-6.7727734507280731E-3</c:v>
                      </c:pt>
                      <c:pt idx="61">
                        <c:v>-6.7727734507280731E-3</c:v>
                      </c:pt>
                      <c:pt idx="62">
                        <c:v>-6.7727734507280731E-3</c:v>
                      </c:pt>
                      <c:pt idx="63">
                        <c:v>-6.7727734507280731E-3</c:v>
                      </c:pt>
                      <c:pt idx="64">
                        <c:v>-6.7727734507280731E-3</c:v>
                      </c:pt>
                      <c:pt idx="65">
                        <c:v>-6.7727734507280731E-3</c:v>
                      </c:pt>
                      <c:pt idx="66">
                        <c:v>-6.7727734507280731E-3</c:v>
                      </c:pt>
                      <c:pt idx="67">
                        <c:v>-6.7727734507280731E-3</c:v>
                      </c:pt>
                      <c:pt idx="68">
                        <c:v>-6.7727734507280731E-3</c:v>
                      </c:pt>
                      <c:pt idx="69">
                        <c:v>-6.7727734507280731E-3</c:v>
                      </c:pt>
                      <c:pt idx="70">
                        <c:v>-6.7727734507280731E-3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CA6-4EE4-8614-46B83DB8F3AD}"/>
                  </c:ext>
                </c:extLst>
              </c15:ser>
            </c15:filteredLineSeries>
            <c15:filteredLineSeries>
              <c15:ser>
                <c:idx val="12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Data!$AT$1</c15:sqref>
                        </c15:formulaRef>
                      </c:ext>
                    </c:extLst>
                    <c:strCache>
                      <c:ptCount val="1"/>
                      <c:pt idx="0">
                        <c:v>Err Speed Avg</c:v>
                      </c:pt>
                    </c:strCache>
                  </c:strRef>
                </c:tx>
                <c:spPr>
                  <a:ln w="22225" cap="rnd">
                    <a:solidFill>
                      <a:srgbClr val="00206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Data!$S$2:$S$1578</c15:sqref>
                        </c15:formulaRef>
                      </c:ext>
                    </c:extLst>
                    <c:numCache>
                      <c:formatCode>#,##0</c:formatCode>
                      <c:ptCount val="1577"/>
                      <c:pt idx="0" formatCode="General">
                        <c:v>9.1159999999999997</c:v>
                      </c:pt>
                      <c:pt idx="1">
                        <c:v>25.126999999999999</c:v>
                      </c:pt>
                      <c:pt idx="2">
                        <c:v>41.725999999999999</c:v>
                      </c:pt>
                      <c:pt idx="3">
                        <c:v>58.390999999999998</c:v>
                      </c:pt>
                      <c:pt idx="4">
                        <c:v>76.775000000000006</c:v>
                      </c:pt>
                      <c:pt idx="5">
                        <c:v>94.019000000000005</c:v>
                      </c:pt>
                      <c:pt idx="6">
                        <c:v>110.72</c:v>
                      </c:pt>
                      <c:pt idx="7">
                        <c:v>127.133</c:v>
                      </c:pt>
                      <c:pt idx="8">
                        <c:v>142.863</c:v>
                      </c:pt>
                      <c:pt idx="9">
                        <c:v>159.91</c:v>
                      </c:pt>
                      <c:pt idx="10">
                        <c:v>176.518</c:v>
                      </c:pt>
                      <c:pt idx="11">
                        <c:v>189.03800000000001</c:v>
                      </c:pt>
                      <c:pt idx="12">
                        <c:v>201.697</c:v>
                      </c:pt>
                      <c:pt idx="13">
                        <c:v>214.48099999999999</c:v>
                      </c:pt>
                      <c:pt idx="14">
                        <c:v>227.10400000000001</c:v>
                      </c:pt>
                      <c:pt idx="15">
                        <c:v>239.245</c:v>
                      </c:pt>
                      <c:pt idx="16">
                        <c:v>251.73699999999999</c:v>
                      </c:pt>
                      <c:pt idx="17">
                        <c:v>264.67599999999999</c:v>
                      </c:pt>
                      <c:pt idx="18">
                        <c:v>277.81799999999998</c:v>
                      </c:pt>
                      <c:pt idx="19">
                        <c:v>291.26799999999997</c:v>
                      </c:pt>
                      <c:pt idx="20">
                        <c:v>303.74900000000002</c:v>
                      </c:pt>
                      <c:pt idx="21">
                        <c:v>315.96899999999999</c:v>
                      </c:pt>
                      <c:pt idx="22">
                        <c:v>327.89100000000002</c:v>
                      </c:pt>
                      <c:pt idx="23">
                        <c:v>339.85300000000001</c:v>
                      </c:pt>
                      <c:pt idx="24">
                        <c:v>352.69099999999997</c:v>
                      </c:pt>
                      <c:pt idx="25">
                        <c:v>364.52</c:v>
                      </c:pt>
                      <c:pt idx="26">
                        <c:v>376.17599999999999</c:v>
                      </c:pt>
                      <c:pt idx="27">
                        <c:v>387.89800000000002</c:v>
                      </c:pt>
                      <c:pt idx="28">
                        <c:v>401.71300000000002</c:v>
                      </c:pt>
                      <c:pt idx="29">
                        <c:v>415.24</c:v>
                      </c:pt>
                      <c:pt idx="30">
                        <c:v>429.83100000000002</c:v>
                      </c:pt>
                      <c:pt idx="31">
                        <c:v>443.34800000000001</c:v>
                      </c:pt>
                      <c:pt idx="32">
                        <c:v>460.75799999999998</c:v>
                      </c:pt>
                      <c:pt idx="33">
                        <c:v>477.291</c:v>
                      </c:pt>
                      <c:pt idx="34">
                        <c:v>492.06299999999999</c:v>
                      </c:pt>
                      <c:pt idx="35">
                        <c:v>508.08499999999998</c:v>
                      </c:pt>
                      <c:pt idx="36">
                        <c:v>521.38300000000004</c:v>
                      </c:pt>
                      <c:pt idx="37">
                        <c:v>535.69000000000005</c:v>
                      </c:pt>
                      <c:pt idx="38">
                        <c:v>547.85400000000004</c:v>
                      </c:pt>
                      <c:pt idx="39">
                        <c:v>561.40499999999997</c:v>
                      </c:pt>
                      <c:pt idx="40">
                        <c:v>576.49400000000003</c:v>
                      </c:pt>
                      <c:pt idx="41">
                        <c:v>590.90200000000004</c:v>
                      </c:pt>
                      <c:pt idx="42">
                        <c:v>604.27700000000004</c:v>
                      </c:pt>
                      <c:pt idx="43">
                        <c:v>617.726</c:v>
                      </c:pt>
                      <c:pt idx="44">
                        <c:v>629.39499999999998</c:v>
                      </c:pt>
                      <c:pt idx="45">
                        <c:v>643.27</c:v>
                      </c:pt>
                      <c:pt idx="46">
                        <c:v>657.66600000000005</c:v>
                      </c:pt>
                      <c:pt idx="47">
                        <c:v>671.36</c:v>
                      </c:pt>
                      <c:pt idx="48">
                        <c:v>685.32500000000005</c:v>
                      </c:pt>
                      <c:pt idx="49">
                        <c:v>699.22900000000004</c:v>
                      </c:pt>
                      <c:pt idx="50">
                        <c:v>713.851</c:v>
                      </c:pt>
                      <c:pt idx="51">
                        <c:v>729.20699999999999</c:v>
                      </c:pt>
                      <c:pt idx="52">
                        <c:v>744.71199999999999</c:v>
                      </c:pt>
                      <c:pt idx="53">
                        <c:v>758.15800000000002</c:v>
                      </c:pt>
                      <c:pt idx="54">
                        <c:v>771.18399999999997</c:v>
                      </c:pt>
                      <c:pt idx="55">
                        <c:v>784.05499999999995</c:v>
                      </c:pt>
                      <c:pt idx="56">
                        <c:v>797.20799999999997</c:v>
                      </c:pt>
                      <c:pt idx="57">
                        <c:v>810.82</c:v>
                      </c:pt>
                      <c:pt idx="58">
                        <c:v>823.76800000000003</c:v>
                      </c:pt>
                      <c:pt idx="59">
                        <c:v>837.46799999999996</c:v>
                      </c:pt>
                      <c:pt idx="60">
                        <c:v>850.774</c:v>
                      </c:pt>
                      <c:pt idx="61">
                        <c:v>865.27200000000005</c:v>
                      </c:pt>
                      <c:pt idx="62">
                        <c:v>879.96199999999999</c:v>
                      </c:pt>
                      <c:pt idx="63">
                        <c:v>894.21299999999997</c:v>
                      </c:pt>
                      <c:pt idx="64">
                        <c:v>908.35599999999999</c:v>
                      </c:pt>
                      <c:pt idx="65">
                        <c:v>925.19600000000003</c:v>
                      </c:pt>
                      <c:pt idx="66">
                        <c:v>940.41200000000003</c:v>
                      </c:pt>
                      <c:pt idx="67">
                        <c:v>955.10599999999999</c:v>
                      </c:pt>
                      <c:pt idx="68">
                        <c:v>970.84699999999998</c:v>
                      </c:pt>
                      <c:pt idx="69">
                        <c:v>985.548</c:v>
                      </c:pt>
                      <c:pt idx="70">
                        <c:v>999.66200000000003</c:v>
                      </c:pt>
                      <c:pt idx="71">
                        <c:v>1017.202</c:v>
                      </c:pt>
                      <c:pt idx="72">
                        <c:v>1031.598</c:v>
                      </c:pt>
                      <c:pt idx="73">
                        <c:v>1046.2070000000001</c:v>
                      </c:pt>
                      <c:pt idx="74">
                        <c:v>1060.8889999999999</c:v>
                      </c:pt>
                      <c:pt idx="75">
                        <c:v>1075.7529999999999</c:v>
                      </c:pt>
                      <c:pt idx="76">
                        <c:v>1089.674</c:v>
                      </c:pt>
                      <c:pt idx="77">
                        <c:v>1103.9290000000001</c:v>
                      </c:pt>
                      <c:pt idx="78">
                        <c:v>1117.914</c:v>
                      </c:pt>
                      <c:pt idx="79">
                        <c:v>1132.4290000000001</c:v>
                      </c:pt>
                      <c:pt idx="80">
                        <c:v>1147.057</c:v>
                      </c:pt>
                      <c:pt idx="81">
                        <c:v>1164.6690000000001</c:v>
                      </c:pt>
                      <c:pt idx="82">
                        <c:v>1179.7380000000001</c:v>
                      </c:pt>
                      <c:pt idx="83">
                        <c:v>1194.498</c:v>
                      </c:pt>
                      <c:pt idx="84">
                        <c:v>1209.5329999999999</c:v>
                      </c:pt>
                      <c:pt idx="85">
                        <c:v>1225.0139999999999</c:v>
                      </c:pt>
                      <c:pt idx="86">
                        <c:v>1239.1790000000001</c:v>
                      </c:pt>
                      <c:pt idx="87">
                        <c:v>1252.8720000000001</c:v>
                      </c:pt>
                      <c:pt idx="88">
                        <c:v>1266.165</c:v>
                      </c:pt>
                      <c:pt idx="89">
                        <c:v>1279.018</c:v>
                      </c:pt>
                      <c:pt idx="90">
                        <c:v>1292.4680000000001</c:v>
                      </c:pt>
                      <c:pt idx="91">
                        <c:v>1305.5150000000001</c:v>
                      </c:pt>
                      <c:pt idx="92">
                        <c:v>1318.538</c:v>
                      </c:pt>
                      <c:pt idx="93">
                        <c:v>1331.7270000000001</c:v>
                      </c:pt>
                      <c:pt idx="94">
                        <c:v>1346.44</c:v>
                      </c:pt>
                      <c:pt idx="95">
                        <c:v>1362.9939999999999</c:v>
                      </c:pt>
                      <c:pt idx="96">
                        <c:v>1378.204</c:v>
                      </c:pt>
                      <c:pt idx="97">
                        <c:v>1392.172</c:v>
                      </c:pt>
                      <c:pt idx="98">
                        <c:v>1408.347</c:v>
                      </c:pt>
                      <c:pt idx="99">
                        <c:v>1423.6659999999999</c:v>
                      </c:pt>
                      <c:pt idx="100">
                        <c:v>1437.915</c:v>
                      </c:pt>
                      <c:pt idx="101">
                        <c:v>1451.499</c:v>
                      </c:pt>
                      <c:pt idx="102">
                        <c:v>1464.6010000000001</c:v>
                      </c:pt>
                      <c:pt idx="103">
                        <c:v>1480.941</c:v>
                      </c:pt>
                      <c:pt idx="104">
                        <c:v>1495.8979999999999</c:v>
                      </c:pt>
                      <c:pt idx="105">
                        <c:v>1509.8510000000001</c:v>
                      </c:pt>
                      <c:pt idx="106">
                        <c:v>1525.876</c:v>
                      </c:pt>
                      <c:pt idx="107">
                        <c:v>1540.104</c:v>
                      </c:pt>
                      <c:pt idx="108">
                        <c:v>1555.2750000000001</c:v>
                      </c:pt>
                      <c:pt idx="109">
                        <c:v>1569.329</c:v>
                      </c:pt>
                      <c:pt idx="110">
                        <c:v>1583.432</c:v>
                      </c:pt>
                      <c:pt idx="111">
                        <c:v>1597.577</c:v>
                      </c:pt>
                      <c:pt idx="112">
                        <c:v>1611.454</c:v>
                      </c:pt>
                      <c:pt idx="113">
                        <c:v>1625.4639999999999</c:v>
                      </c:pt>
                      <c:pt idx="114">
                        <c:v>1637.6089999999999</c:v>
                      </c:pt>
                      <c:pt idx="115">
                        <c:v>1649.576</c:v>
                      </c:pt>
                      <c:pt idx="116">
                        <c:v>1664.7829999999999</c:v>
                      </c:pt>
                      <c:pt idx="117">
                        <c:v>1682.164</c:v>
                      </c:pt>
                      <c:pt idx="118">
                        <c:v>1695.635</c:v>
                      </c:pt>
                      <c:pt idx="119">
                        <c:v>1707.8430000000001</c:v>
                      </c:pt>
                      <c:pt idx="120">
                        <c:v>1720.9179999999999</c:v>
                      </c:pt>
                      <c:pt idx="121">
                        <c:v>1734.0350000000001</c:v>
                      </c:pt>
                      <c:pt idx="122">
                        <c:v>1747.31</c:v>
                      </c:pt>
                      <c:pt idx="123">
                        <c:v>1762.86</c:v>
                      </c:pt>
                      <c:pt idx="124">
                        <c:v>1775.598</c:v>
                      </c:pt>
                      <c:pt idx="125">
                        <c:v>1788.511</c:v>
                      </c:pt>
                      <c:pt idx="126">
                        <c:v>1801.155</c:v>
                      </c:pt>
                      <c:pt idx="127">
                        <c:v>1813.671</c:v>
                      </c:pt>
                      <c:pt idx="128">
                        <c:v>1825.925</c:v>
                      </c:pt>
                      <c:pt idx="129">
                        <c:v>1838.345</c:v>
                      </c:pt>
                      <c:pt idx="130">
                        <c:v>1850.0509999999999</c:v>
                      </c:pt>
                      <c:pt idx="131">
                        <c:v>1861.8889999999999</c:v>
                      </c:pt>
                      <c:pt idx="132">
                        <c:v>1873.463</c:v>
                      </c:pt>
                      <c:pt idx="133">
                        <c:v>1885.373</c:v>
                      </c:pt>
                      <c:pt idx="134">
                        <c:v>1897.4970000000001</c:v>
                      </c:pt>
                      <c:pt idx="135">
                        <c:v>1910.0119999999999</c:v>
                      </c:pt>
                      <c:pt idx="136">
                        <c:v>1924.2719999999999</c:v>
                      </c:pt>
                      <c:pt idx="137">
                        <c:v>1938.271</c:v>
                      </c:pt>
                      <c:pt idx="138">
                        <c:v>1951.9169999999999</c:v>
                      </c:pt>
                      <c:pt idx="139">
                        <c:v>1965.1469999999999</c:v>
                      </c:pt>
                      <c:pt idx="140">
                        <c:v>1978.2829999999999</c:v>
                      </c:pt>
                      <c:pt idx="141">
                        <c:v>1992.816</c:v>
                      </c:pt>
                      <c:pt idx="142">
                        <c:v>2006.434</c:v>
                      </c:pt>
                      <c:pt idx="143">
                        <c:v>2020.8309999999999</c:v>
                      </c:pt>
                      <c:pt idx="144">
                        <c:v>2034.999</c:v>
                      </c:pt>
                      <c:pt idx="145">
                        <c:v>2047.355</c:v>
                      </c:pt>
                      <c:pt idx="146">
                        <c:v>2061.17</c:v>
                      </c:pt>
                      <c:pt idx="147">
                        <c:v>2075.27</c:v>
                      </c:pt>
                      <c:pt idx="148">
                        <c:v>2089.1790000000001</c:v>
                      </c:pt>
                      <c:pt idx="149">
                        <c:v>2103.1680000000001</c:v>
                      </c:pt>
                      <c:pt idx="150">
                        <c:v>2116.5700000000002</c:v>
                      </c:pt>
                      <c:pt idx="151">
                        <c:v>2130.6750000000002</c:v>
                      </c:pt>
                      <c:pt idx="152">
                        <c:v>2144.1869999999999</c:v>
                      </c:pt>
                      <c:pt idx="153">
                        <c:v>2159.0129999999999</c:v>
                      </c:pt>
                      <c:pt idx="154">
                        <c:v>2172.6489999999999</c:v>
                      </c:pt>
                      <c:pt idx="155">
                        <c:v>2187.0340000000001</c:v>
                      </c:pt>
                      <c:pt idx="156">
                        <c:v>2200.5909999999999</c:v>
                      </c:pt>
                      <c:pt idx="157">
                        <c:v>2213.8359999999998</c:v>
                      </c:pt>
                      <c:pt idx="158">
                        <c:v>2227.422</c:v>
                      </c:pt>
                      <c:pt idx="159">
                        <c:v>2240.8580000000002</c:v>
                      </c:pt>
                      <c:pt idx="160">
                        <c:v>2254.58</c:v>
                      </c:pt>
                      <c:pt idx="161">
                        <c:v>2268.3690000000001</c:v>
                      </c:pt>
                      <c:pt idx="162">
                        <c:v>2282.038</c:v>
                      </c:pt>
                      <c:pt idx="163">
                        <c:v>2295.3200000000002</c:v>
                      </c:pt>
                      <c:pt idx="164">
                        <c:v>2308.4369999999999</c:v>
                      </c:pt>
                      <c:pt idx="165">
                        <c:v>2321.7269999999999</c:v>
                      </c:pt>
                      <c:pt idx="166">
                        <c:v>2335.1109999999999</c:v>
                      </c:pt>
                      <c:pt idx="167">
                        <c:v>2347.9</c:v>
                      </c:pt>
                      <c:pt idx="168">
                        <c:v>2361.3739999999998</c:v>
                      </c:pt>
                      <c:pt idx="169">
                        <c:v>2375.2809999999999</c:v>
                      </c:pt>
                      <c:pt idx="170">
                        <c:v>2389.1309999999999</c:v>
                      </c:pt>
                      <c:pt idx="171">
                        <c:v>2402.7040000000002</c:v>
                      </c:pt>
                      <c:pt idx="172">
                        <c:v>2417.0450000000001</c:v>
                      </c:pt>
                      <c:pt idx="173">
                        <c:v>2431.6610000000001</c:v>
                      </c:pt>
                      <c:pt idx="174">
                        <c:v>2446.326</c:v>
                      </c:pt>
                      <c:pt idx="175">
                        <c:v>2459.7060000000001</c:v>
                      </c:pt>
                      <c:pt idx="176">
                        <c:v>2473.7959999999998</c:v>
                      </c:pt>
                      <c:pt idx="177">
                        <c:v>2487.2150000000001</c:v>
                      </c:pt>
                      <c:pt idx="178">
                        <c:v>2502.5590000000002</c:v>
                      </c:pt>
                      <c:pt idx="179">
                        <c:v>2515.6039999999998</c:v>
                      </c:pt>
                      <c:pt idx="180">
                        <c:v>2529.0940000000001</c:v>
                      </c:pt>
                      <c:pt idx="181">
                        <c:v>2540.3969999999999</c:v>
                      </c:pt>
                      <c:pt idx="182">
                        <c:v>2551.895</c:v>
                      </c:pt>
                      <c:pt idx="183">
                        <c:v>2564.127</c:v>
                      </c:pt>
                      <c:pt idx="184">
                        <c:v>2576.7800000000002</c:v>
                      </c:pt>
                      <c:pt idx="185">
                        <c:v>2588.819</c:v>
                      </c:pt>
                      <c:pt idx="186">
                        <c:v>2600.797</c:v>
                      </c:pt>
                      <c:pt idx="187">
                        <c:v>2612.8539999999998</c:v>
                      </c:pt>
                      <c:pt idx="188">
                        <c:v>2625.0459999999998</c:v>
                      </c:pt>
                      <c:pt idx="189">
                        <c:v>2641.9110000000001</c:v>
                      </c:pt>
                      <c:pt idx="190">
                        <c:v>2660.431</c:v>
                      </c:pt>
                      <c:pt idx="191">
                        <c:v>2672.93</c:v>
                      </c:pt>
                      <c:pt idx="192">
                        <c:v>2685.3780000000002</c:v>
                      </c:pt>
                      <c:pt idx="193">
                        <c:v>2696.0810000000001</c:v>
                      </c:pt>
                      <c:pt idx="194">
                        <c:v>2707.0210000000002</c:v>
                      </c:pt>
                      <c:pt idx="195">
                        <c:v>2717.9859999999999</c:v>
                      </c:pt>
                      <c:pt idx="196">
                        <c:v>2728.665</c:v>
                      </c:pt>
                      <c:pt idx="197">
                        <c:v>2740.7310000000002</c:v>
                      </c:pt>
                      <c:pt idx="198">
                        <c:v>2752.0859999999998</c:v>
                      </c:pt>
                      <c:pt idx="199">
                        <c:v>2762.7710000000002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Data!$AT$130:$AT$200</c15:sqref>
                        </c15:formulaRef>
                      </c:ext>
                    </c:extLst>
                    <c:numCache>
                      <c:formatCode>0.000</c:formatCode>
                      <c:ptCount val="71"/>
                      <c:pt idx="0">
                        <c:v>-0.43867861852624657</c:v>
                      </c:pt>
                      <c:pt idx="1">
                        <c:v>-0.95196648707430609</c:v>
                      </c:pt>
                      <c:pt idx="2">
                        <c:v>-1.5002916484478095</c:v>
                      </c:pt>
                      <c:pt idx="3">
                        <c:v>-1.8561582754136956</c:v>
                      </c:pt>
                      <c:pt idx="4">
                        <c:v>-1.8359042627582927</c:v>
                      </c:pt>
                      <c:pt idx="5">
                        <c:v>-1.5425940504415254</c:v>
                      </c:pt>
                      <c:pt idx="6">
                        <c:v>-1.1078114417458755</c:v>
                      </c:pt>
                      <c:pt idx="7">
                        <c:v>-0.59194048177226299</c:v>
                      </c:pt>
                      <c:pt idx="8">
                        <c:v>-0.30440754827334598</c:v>
                      </c:pt>
                      <c:pt idx="9">
                        <c:v>-0.23460696153959093</c:v>
                      </c:pt>
                      <c:pt idx="10">
                        <c:v>-0.3057522075360869</c:v>
                      </c:pt>
                      <c:pt idx="11">
                        <c:v>-0.38133799740759089</c:v>
                      </c:pt>
                      <c:pt idx="12">
                        <c:v>-0.37907153324254228</c:v>
                      </c:pt>
                      <c:pt idx="13">
                        <c:v>-0.34996719470035087</c:v>
                      </c:pt>
                      <c:pt idx="14">
                        <c:v>-0.30830611933516061</c:v>
                      </c:pt>
                      <c:pt idx="15">
                        <c:v>-0.2481518281083141</c:v>
                      </c:pt>
                      <c:pt idx="16">
                        <c:v>-0.18668235670095451</c:v>
                      </c:pt>
                      <c:pt idx="17">
                        <c:v>-0.12481988371618938</c:v>
                      </c:pt>
                      <c:pt idx="18">
                        <c:v>-4.0818714138916065E-2</c:v>
                      </c:pt>
                      <c:pt idx="19">
                        <c:v>4.5793810585869815E-2</c:v>
                      </c:pt>
                      <c:pt idx="20">
                        <c:v>0.13109409240209632</c:v>
                      </c:pt>
                      <c:pt idx="21">
                        <c:v>0.2023982012729888</c:v>
                      </c:pt>
                      <c:pt idx="22">
                        <c:v>0.23098117055773421</c:v>
                      </c:pt>
                      <c:pt idx="23">
                        <c:v>0.24456524214327691</c:v>
                      </c:pt>
                      <c:pt idx="24">
                        <c:v>0.24641702401093185</c:v>
                      </c:pt>
                      <c:pt idx="25">
                        <c:v>0.215879938594468</c:v>
                      </c:pt>
                      <c:pt idx="26">
                        <c:v>0.18802626376413539</c:v>
                      </c:pt>
                      <c:pt idx="27">
                        <c:v>0.17106356950194201</c:v>
                      </c:pt>
                      <c:pt idx="28">
                        <c:v>0.12852546244770599</c:v>
                      </c:pt>
                      <c:pt idx="29">
                        <c:v>6.9020451340594577E-2</c:v>
                      </c:pt>
                      <c:pt idx="30">
                        <c:v>1.2598748239611707E-2</c:v>
                      </c:pt>
                      <c:pt idx="31">
                        <c:v>-6.1391514999798183E-2</c:v>
                      </c:pt>
                      <c:pt idx="32">
                        <c:v>-0.1329236625950001</c:v>
                      </c:pt>
                      <c:pt idx="33">
                        <c:v>-0.17643660769616704</c:v>
                      </c:pt>
                      <c:pt idx="34">
                        <c:v>-0.19059986645642471</c:v>
                      </c:pt>
                      <c:pt idx="35">
                        <c:v>-0.19127374012812065</c:v>
                      </c:pt>
                      <c:pt idx="36">
                        <c:v>-0.17711237023443385</c:v>
                      </c:pt>
                      <c:pt idx="37">
                        <c:v>-0.14843587472854267</c:v>
                      </c:pt>
                      <c:pt idx="38">
                        <c:v>-0.13480936118744744</c:v>
                      </c:pt>
                      <c:pt idx="39">
                        <c:v>-0.12118450396085448</c:v>
                      </c:pt>
                      <c:pt idx="40">
                        <c:v>-9.1068557567239403E-2</c:v>
                      </c:pt>
                      <c:pt idx="41">
                        <c:v>-4.6192532943829689E-2</c:v>
                      </c:pt>
                      <c:pt idx="42">
                        <c:v>-2.2627575637358512E-3</c:v>
                      </c:pt>
                      <c:pt idx="43">
                        <c:v>7.1829081791221702E-2</c:v>
                      </c:pt>
                      <c:pt idx="44">
                        <c:v>0.11535957881154064</c:v>
                      </c:pt>
                      <c:pt idx="45">
                        <c:v>0.15641048193140933</c:v>
                      </c:pt>
                      <c:pt idx="46">
                        <c:v>0.18294297527505707</c:v>
                      </c:pt>
                      <c:pt idx="47">
                        <c:v>0.18395747506730004</c:v>
                      </c:pt>
                      <c:pt idx="48">
                        <c:v>0.16814099559037082</c:v>
                      </c:pt>
                      <c:pt idx="49">
                        <c:v>0.15515317811016366</c:v>
                      </c:pt>
                      <c:pt idx="50">
                        <c:v>0.11410227499029497</c:v>
                      </c:pt>
                      <c:pt idx="51">
                        <c:v>5.7856990139420875E-2</c:v>
                      </c:pt>
                      <c:pt idx="52">
                        <c:v>-1.6899698519798445E-3</c:v>
                      </c:pt>
                      <c:pt idx="53">
                        <c:v>-6.5467732992550293E-2</c:v>
                      </c:pt>
                      <c:pt idx="54">
                        <c:v>-0.11516063214610224</c:v>
                      </c:pt>
                      <c:pt idx="55">
                        <c:v>-0.13151118806500353</c:v>
                      </c:pt>
                      <c:pt idx="56">
                        <c:v>-0.13198617150798267</c:v>
                      </c:pt>
                      <c:pt idx="57">
                        <c:v>-0.11894725320620285</c:v>
                      </c:pt>
                      <c:pt idx="58">
                        <c:v>-8.3558418383589031E-2</c:v>
                      </c:pt>
                      <c:pt idx="59">
                        <c:v>-4.8769759486389661E-2</c:v>
                      </c:pt>
                      <c:pt idx="60">
                        <c:v>-4.8823403042553983E-2</c:v>
                      </c:pt>
                      <c:pt idx="61">
                        <c:v>-3.30168749464506E-2</c:v>
                      </c:pt>
                      <c:pt idx="62">
                        <c:v>-1.6404199475065606E-2</c:v>
                      </c:pt>
                      <c:pt idx="63">
                        <c:v>-1.6404199475065606E-2</c:v>
                      </c:pt>
                      <c:pt idx="64">
                        <c:v>-1.6404199475065606E-2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CA6-4EE4-8614-46B83DB8F3AD}"/>
                  </c:ext>
                </c:extLst>
              </c15:ser>
            </c15:filteredLineSeries>
          </c:ext>
        </c:extLst>
      </c:lineChart>
      <c:catAx>
        <c:axId val="97627908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(ms)</a:t>
                </a:r>
              </a:p>
            </c:rich>
          </c:tx>
          <c:layout>
            <c:manualLayout>
              <c:xMode val="edge"/>
              <c:yMode val="edge"/>
              <c:x val="0.46524205907732036"/>
              <c:y val="0.79971672548422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82927"/>
        <c:crosses val="autoZero"/>
        <c:auto val="1"/>
        <c:lblAlgn val="ctr"/>
        <c:lblOffset val="0"/>
        <c:noMultiLvlLbl val="0"/>
      </c:catAx>
      <c:valAx>
        <c:axId val="976282927"/>
        <c:scaling>
          <c:orientation val="minMax"/>
          <c:max val="2"/>
          <c:min val="-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7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800455864069621E-2"/>
          <c:y val="0.5016528095537095"/>
          <c:w val="0.9"/>
          <c:h val="1.28896410863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42333</xdr:rowOff>
    </xdr:from>
    <xdr:to>
      <xdr:col>23</xdr:col>
      <xdr:colOff>38100</xdr:colOff>
      <xdr:row>28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FED56F-9AB0-40EC-96BE-9B9B589F3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30</xdr:row>
      <xdr:rowOff>0</xdr:rowOff>
    </xdr:from>
    <xdr:to>
      <xdr:col>23</xdr:col>
      <xdr:colOff>457200</xdr:colOff>
      <xdr:row>120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A368F-010E-4D29-BB15-1FB897F3E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C51A-4E3B-48FA-8558-64DD290AD9D1}">
  <dimension ref="A1:AZ201"/>
  <sheetViews>
    <sheetView topLeftCell="O1" zoomScale="90" zoomScaleNormal="90" workbookViewId="0">
      <pane ySplit="1" topLeftCell="A169" activePane="bottomLeft" state="frozen"/>
      <selection pane="bottomLeft" activeCell="AP182" sqref="AP175:AP182"/>
    </sheetView>
  </sheetViews>
  <sheetFormatPr defaultRowHeight="14.4" x14ac:dyDescent="0.3"/>
  <cols>
    <col min="1" max="1" width="19.21875" style="4" bestFit="1" customWidth="1"/>
    <col min="2" max="2" width="17.21875" style="4" bestFit="1" customWidth="1"/>
    <col min="3" max="3" width="17.88671875" style="4" bestFit="1" customWidth="1"/>
    <col min="4" max="4" width="15.77734375" style="4" bestFit="1" customWidth="1"/>
    <col min="5" max="5" width="9.5546875" style="4" bestFit="1" customWidth="1"/>
    <col min="6" max="6" width="6.5546875" style="4" bestFit="1" customWidth="1"/>
    <col min="7" max="8" width="6.21875" style="4" bestFit="1" customWidth="1"/>
    <col min="9" max="9" width="14.88671875" style="4" bestFit="1" customWidth="1"/>
    <col min="10" max="10" width="16.44140625" style="4" bestFit="1" customWidth="1"/>
    <col min="11" max="13" width="8.5546875" style="4" bestFit="1" customWidth="1"/>
    <col min="14" max="14" width="19.6640625" style="4" bestFit="1" customWidth="1"/>
    <col min="15" max="16" width="6.6640625" style="4" bestFit="1" customWidth="1"/>
    <col min="17" max="18" width="6" style="5" bestFit="1" customWidth="1"/>
    <col min="19" max="19" width="9" style="9" bestFit="1" customWidth="1"/>
    <col min="20" max="20" width="11.21875" style="4" bestFit="1" customWidth="1"/>
    <col min="21" max="21" width="12" style="4" bestFit="1" customWidth="1"/>
    <col min="22" max="22" width="12.109375" style="4" bestFit="1" customWidth="1"/>
    <col min="23" max="23" width="12" style="4" bestFit="1" customWidth="1"/>
    <col min="24" max="24" width="15.77734375" style="4" bestFit="1" customWidth="1"/>
    <col min="25" max="25" width="9.5546875" style="4" bestFit="1" customWidth="1"/>
    <col min="26" max="26" width="7.77734375" style="8" bestFit="1" customWidth="1"/>
    <col min="27" max="27" width="13.6640625" style="8" bestFit="1" customWidth="1"/>
    <col min="28" max="28" width="15.5546875" style="4" bestFit="1" customWidth="1"/>
    <col min="29" max="29" width="14.5546875" style="4" bestFit="1" customWidth="1"/>
    <col min="30" max="30" width="7.44140625" style="5" bestFit="1" customWidth="1"/>
    <col min="31" max="31" width="6.88671875" style="16" bestFit="1" customWidth="1"/>
    <col min="32" max="33" width="8.6640625" style="4" bestFit="1" customWidth="1"/>
    <col min="34" max="34" width="7.77734375" style="4" bestFit="1" customWidth="1"/>
    <col min="35" max="37" width="8.6640625" style="4" bestFit="1" customWidth="1"/>
    <col min="38" max="38" width="9.21875" style="4" bestFit="1" customWidth="1"/>
    <col min="39" max="39" width="8.77734375" style="4" bestFit="1" customWidth="1"/>
    <col min="40" max="40" width="6" style="4" customWidth="1"/>
    <col min="41" max="41" width="9.44140625" style="5" bestFit="1" customWidth="1"/>
    <col min="42" max="42" width="9" style="8" bestFit="1" customWidth="1"/>
    <col min="43" max="43" width="12.44140625" style="6" bestFit="1" customWidth="1"/>
    <col min="44" max="44" width="13.109375" style="5" bestFit="1" customWidth="1"/>
    <col min="45" max="45" width="16" style="5" bestFit="1" customWidth="1"/>
    <col min="46" max="46" width="12.6640625" style="5" bestFit="1" customWidth="1"/>
    <col min="47" max="47" width="10.77734375" style="5" bestFit="1" customWidth="1"/>
    <col min="48" max="48" width="5.44140625" style="4" bestFit="1" customWidth="1"/>
    <col min="49" max="49" width="7.6640625" style="4" bestFit="1" customWidth="1"/>
    <col min="50" max="50" width="5.5546875" style="4" bestFit="1" customWidth="1"/>
    <col min="51" max="51" width="4.21875" style="4" bestFit="1" customWidth="1"/>
    <col min="52" max="52" width="8.6640625" style="4" bestFit="1" customWidth="1"/>
    <col min="53" max="16384" width="8.88671875" style="4"/>
  </cols>
  <sheetData>
    <row r="1" spans="1:52" s="1" customFormat="1" x14ac:dyDescent="0.3">
      <c r="A1" s="1" t="s">
        <v>46</v>
      </c>
      <c r="B1" s="1" t="s">
        <v>47</v>
      </c>
      <c r="C1" s="1" t="s">
        <v>51</v>
      </c>
      <c r="D1" s="1" t="s">
        <v>48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49</v>
      </c>
      <c r="O1" s="1" t="s">
        <v>50</v>
      </c>
      <c r="P1" s="1" t="s">
        <v>9</v>
      </c>
      <c r="Q1" s="2" t="s">
        <v>10</v>
      </c>
      <c r="R1" s="2" t="s">
        <v>11</v>
      </c>
      <c r="S1" s="7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0" t="s">
        <v>19</v>
      </c>
      <c r="AA1" s="10" t="s">
        <v>20</v>
      </c>
      <c r="AB1" s="1" t="s">
        <v>21</v>
      </c>
      <c r="AC1" s="1" t="s">
        <v>22</v>
      </c>
      <c r="AD1" s="2" t="s">
        <v>23</v>
      </c>
      <c r="AE1" s="15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2" t="s">
        <v>45</v>
      </c>
      <c r="AP1" s="10" t="s">
        <v>44</v>
      </c>
      <c r="AQ1" s="3" t="s">
        <v>40</v>
      </c>
      <c r="AR1" s="2" t="s">
        <v>34</v>
      </c>
      <c r="AS1" s="2" t="s">
        <v>43</v>
      </c>
      <c r="AT1" s="2" t="s">
        <v>42</v>
      </c>
      <c r="AU1" s="2" t="s">
        <v>41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</row>
    <row r="2" spans="1:52" x14ac:dyDescent="0.3">
      <c r="A2" s="4" t="s">
        <v>52</v>
      </c>
      <c r="B2" s="4" t="s">
        <v>53</v>
      </c>
      <c r="C2" s="4" t="s">
        <v>54</v>
      </c>
      <c r="D2" s="4" t="s">
        <v>54</v>
      </c>
      <c r="E2" s="4" t="s">
        <v>55</v>
      </c>
      <c r="F2" s="4">
        <v>2</v>
      </c>
      <c r="G2" s="4">
        <v>0.04</v>
      </c>
      <c r="H2" s="4" t="b">
        <v>0</v>
      </c>
      <c r="I2" s="4" t="b">
        <v>0</v>
      </c>
      <c r="J2" s="4" t="b">
        <v>0</v>
      </c>
      <c r="K2" s="4">
        <v>2.9529999999999998</v>
      </c>
      <c r="L2" s="4">
        <v>5.1999999999999998E-2</v>
      </c>
      <c r="M2" s="4">
        <v>-5.8000000000000003E-2</v>
      </c>
      <c r="N2" s="4">
        <v>0</v>
      </c>
      <c r="O2" s="4">
        <v>0</v>
      </c>
      <c r="P2" s="4">
        <v>5.0000000000000001E-3</v>
      </c>
      <c r="Q2" s="4">
        <v>1E-3</v>
      </c>
      <c r="R2" s="4">
        <v>0.18</v>
      </c>
      <c r="S2" s="8">
        <v>9.1159999999999997</v>
      </c>
      <c r="T2" s="4">
        <v>1838.375</v>
      </c>
      <c r="U2" s="4">
        <v>2.524</v>
      </c>
      <c r="V2" s="4">
        <v>2.3370000000000002</v>
      </c>
      <c r="W2" s="4">
        <v>1.63</v>
      </c>
      <c r="X2" s="4">
        <v>3.8809999999999998</v>
      </c>
      <c r="Y2" s="4">
        <v>10.375</v>
      </c>
      <c r="Z2" s="8">
        <v>0</v>
      </c>
      <c r="AA2" s="8">
        <v>5270</v>
      </c>
      <c r="AB2" s="4">
        <v>2</v>
      </c>
      <c r="AC2" s="4">
        <v>0.06</v>
      </c>
      <c r="AD2" s="5">
        <v>0</v>
      </c>
      <c r="AE2" s="16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5">
        <f>Z2/AA2</f>
        <v>0</v>
      </c>
      <c r="AP2" s="8">
        <f>AB2-Z2</f>
        <v>2</v>
      </c>
      <c r="AQ2" s="6">
        <f t="shared" ref="AQ2:AQ65" si="0">AP2/MAX(AP:AP)</f>
        <v>1.06951871657754E-2</v>
      </c>
      <c r="AR2" s="5">
        <f>AB2/AA2</f>
        <v>3.7950664136622391E-4</v>
      </c>
      <c r="AS2" s="5">
        <f>AP2/(100*K2)</f>
        <v>6.7727734507280731E-3</v>
      </c>
      <c r="AT2" s="5">
        <f>0</f>
        <v>0</v>
      </c>
      <c r="AU2" s="5">
        <f>0</f>
        <v>0</v>
      </c>
      <c r="AV2" s="4">
        <f t="shared" ref="AV2:AV33" si="1">IF(B2="ACCELERATION",5,0)</f>
        <v>5</v>
      </c>
      <c r="AW2" s="4">
        <f t="shared" ref="AW2:AW33" si="2">IF(B2="CRUISING",5,0)</f>
        <v>0</v>
      </c>
      <c r="AX2" s="4">
        <f t="shared" ref="AX2:AX33" si="3">IF(B2="DECELERATION",5,0)</f>
        <v>0</v>
      </c>
      <c r="AY2" s="4">
        <f t="shared" ref="AY2:AY33" si="4">IF(B2="END",5,0)</f>
        <v>0</v>
      </c>
      <c r="AZ2" s="4">
        <f>IF(ABS(Z2-AA2)&lt;5,5,0)</f>
        <v>0</v>
      </c>
    </row>
    <row r="3" spans="1:52" x14ac:dyDescent="0.3">
      <c r="A3" s="4" t="s">
        <v>52</v>
      </c>
      <c r="B3" s="4" t="s">
        <v>53</v>
      </c>
      <c r="C3" s="4" t="s">
        <v>54</v>
      </c>
      <c r="D3" s="4" t="s">
        <v>56</v>
      </c>
      <c r="E3" s="4" t="s">
        <v>55</v>
      </c>
      <c r="F3" s="4">
        <v>2</v>
      </c>
      <c r="G3" s="4">
        <v>0.04</v>
      </c>
      <c r="H3" s="4" t="b">
        <v>0</v>
      </c>
      <c r="I3" s="4" t="b">
        <v>0</v>
      </c>
      <c r="J3" s="4" t="b">
        <v>0</v>
      </c>
      <c r="K3" s="4">
        <v>2.9529999999999998</v>
      </c>
      <c r="L3" s="4">
        <v>5.1999999999999998E-2</v>
      </c>
      <c r="M3" s="4">
        <v>-5.8000000000000003E-2</v>
      </c>
      <c r="N3" s="4">
        <v>0</v>
      </c>
      <c r="O3" s="4">
        <v>0</v>
      </c>
      <c r="P3" s="4">
        <v>5.0000000000000001E-3</v>
      </c>
      <c r="Q3" s="5">
        <v>1E-3</v>
      </c>
      <c r="R3" s="5">
        <v>0.18</v>
      </c>
      <c r="S3" s="9">
        <v>25.126999999999999</v>
      </c>
      <c r="T3" s="4">
        <v>1838.375</v>
      </c>
      <c r="U3" s="4">
        <v>1.7450000000000001</v>
      </c>
      <c r="V3" s="4">
        <v>2.4950000000000001</v>
      </c>
      <c r="W3" s="4">
        <v>1.7549999999999999</v>
      </c>
      <c r="X3" s="4">
        <v>4.7539999999999996</v>
      </c>
      <c r="Y3" s="4">
        <v>10.753</v>
      </c>
      <c r="Z3" s="8">
        <v>0</v>
      </c>
      <c r="AA3" s="8">
        <v>5270</v>
      </c>
      <c r="AB3" s="4">
        <v>10</v>
      </c>
      <c r="AC3" s="4">
        <v>0.06</v>
      </c>
      <c r="AD3" s="5">
        <v>0.05</v>
      </c>
      <c r="AE3" s="16">
        <v>0</v>
      </c>
      <c r="AF3" s="4">
        <v>0</v>
      </c>
      <c r="AG3" s="4">
        <v>0.05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5">
        <f t="shared" ref="AO3:AO66" si="5">Z3/AA3</f>
        <v>0</v>
      </c>
      <c r="AP3" s="8">
        <f t="shared" ref="AP3:AP66" si="6">AB3-Z3</f>
        <v>10</v>
      </c>
      <c r="AQ3" s="6">
        <f t="shared" si="0"/>
        <v>5.3475935828877004E-2</v>
      </c>
      <c r="AR3" s="5">
        <f t="shared" ref="AR3:AR66" si="7">AB3/AA3</f>
        <v>1.8975332068311196E-3</v>
      </c>
      <c r="AS3" s="5">
        <f t="shared" ref="AS3:AS66" si="8">AP3/(100*K3)</f>
        <v>3.3863867253640365E-2</v>
      </c>
      <c r="AT3" s="5">
        <f>AVERAGE(AU2:AU3)</f>
        <v>0.24982824308288054</v>
      </c>
      <c r="AU3" s="5">
        <f>(AP3-AP2)/(S3-S2)</f>
        <v>0.49965648616576108</v>
      </c>
      <c r="AV3" s="4">
        <f t="shared" si="1"/>
        <v>5</v>
      </c>
      <c r="AW3" s="4">
        <f t="shared" si="2"/>
        <v>0</v>
      </c>
      <c r="AX3" s="4">
        <f t="shared" si="3"/>
        <v>0</v>
      </c>
      <c r="AY3" s="4">
        <f t="shared" si="4"/>
        <v>0</v>
      </c>
      <c r="AZ3" s="4">
        <f t="shared" ref="AZ3:AZ66" si="9">IF(ABS(Z3-AA3)&lt;5,5,0)</f>
        <v>0</v>
      </c>
    </row>
    <row r="4" spans="1:52" x14ac:dyDescent="0.3">
      <c r="A4" s="4" t="s">
        <v>52</v>
      </c>
      <c r="B4" s="4" t="s">
        <v>53</v>
      </c>
      <c r="C4" s="4" t="s">
        <v>54</v>
      </c>
      <c r="D4" s="4" t="s">
        <v>56</v>
      </c>
      <c r="E4" s="4" t="s">
        <v>55</v>
      </c>
      <c r="F4" s="4">
        <v>2</v>
      </c>
      <c r="G4" s="4">
        <v>0.04</v>
      </c>
      <c r="H4" s="4" t="b">
        <v>0</v>
      </c>
      <c r="I4" s="4" t="b">
        <v>0</v>
      </c>
      <c r="J4" s="4" t="b">
        <v>0</v>
      </c>
      <c r="K4" s="4">
        <v>2.9529999999999998</v>
      </c>
      <c r="L4" s="4">
        <v>5.1999999999999998E-2</v>
      </c>
      <c r="M4" s="4">
        <v>-5.8000000000000003E-2</v>
      </c>
      <c r="N4" s="4">
        <v>3603.692</v>
      </c>
      <c r="O4" s="4">
        <v>1.462</v>
      </c>
      <c r="P4" s="4">
        <v>5.0000000000000001E-3</v>
      </c>
      <c r="Q4" s="5">
        <v>1E-3</v>
      </c>
      <c r="R4" s="5">
        <v>0.18</v>
      </c>
      <c r="S4" s="9">
        <v>41.725999999999999</v>
      </c>
      <c r="T4" s="4">
        <v>1838.375</v>
      </c>
      <c r="U4" s="4">
        <v>1.9239999999999999</v>
      </c>
      <c r="V4" s="4">
        <v>2.6030000000000002</v>
      </c>
      <c r="W4" s="4">
        <v>1.7669999999999999</v>
      </c>
      <c r="X4" s="4">
        <v>4.3769999999999998</v>
      </c>
      <c r="Y4" s="4">
        <v>10.675000000000001</v>
      </c>
      <c r="Z4" s="8">
        <v>1</v>
      </c>
      <c r="AA4" s="8">
        <v>5270</v>
      </c>
      <c r="AB4" s="4">
        <v>34</v>
      </c>
      <c r="AC4" s="4">
        <v>0.06</v>
      </c>
      <c r="AD4" s="5">
        <v>0.17</v>
      </c>
      <c r="AE4" s="16">
        <v>0</v>
      </c>
      <c r="AF4" s="4">
        <v>0</v>
      </c>
      <c r="AG4" s="4">
        <v>0.17</v>
      </c>
      <c r="AH4" s="4">
        <v>0.02</v>
      </c>
      <c r="AI4" s="4">
        <v>3.0669999999999999E-2</v>
      </c>
      <c r="AJ4" s="4">
        <v>1.8500000000000001E-3</v>
      </c>
      <c r="AK4" s="4">
        <v>9.3999999999999997E-4</v>
      </c>
      <c r="AL4" s="4">
        <v>0</v>
      </c>
      <c r="AM4" s="4">
        <v>0</v>
      </c>
      <c r="AN4" s="4">
        <v>0.218</v>
      </c>
      <c r="AO4" s="5">
        <f t="shared" si="5"/>
        <v>1.8975332068311195E-4</v>
      </c>
      <c r="AP4" s="8">
        <f t="shared" si="6"/>
        <v>33</v>
      </c>
      <c r="AQ4" s="6">
        <f t="shared" si="0"/>
        <v>0.17647058823529413</v>
      </c>
      <c r="AR4" s="5">
        <f t="shared" si="7"/>
        <v>6.4516129032258064E-3</v>
      </c>
      <c r="AS4" s="5">
        <f t="shared" si="8"/>
        <v>0.11175076193701321</v>
      </c>
      <c r="AT4" s="5">
        <f>AVERAGE(AU2:AU4)</f>
        <v>0.62842737542152072</v>
      </c>
      <c r="AU4" s="5">
        <f t="shared" ref="AU4:AU67" si="10">(AP4-AP3)/(S4-S3)</f>
        <v>1.3856256400988012</v>
      </c>
      <c r="AV4" s="4">
        <f t="shared" si="1"/>
        <v>5</v>
      </c>
      <c r="AW4" s="4">
        <f t="shared" si="2"/>
        <v>0</v>
      </c>
      <c r="AX4" s="4">
        <f t="shared" si="3"/>
        <v>0</v>
      </c>
      <c r="AY4" s="4">
        <f t="shared" si="4"/>
        <v>0</v>
      </c>
      <c r="AZ4" s="4">
        <f t="shared" si="9"/>
        <v>0</v>
      </c>
    </row>
    <row r="5" spans="1:52" x14ac:dyDescent="0.3">
      <c r="A5" s="4" t="s">
        <v>52</v>
      </c>
      <c r="B5" s="4" t="s">
        <v>53</v>
      </c>
      <c r="C5" s="4" t="s">
        <v>54</v>
      </c>
      <c r="D5" s="4" t="s">
        <v>56</v>
      </c>
      <c r="E5" s="4" t="s">
        <v>55</v>
      </c>
      <c r="F5" s="4">
        <v>2</v>
      </c>
      <c r="G5" s="4">
        <v>0.04</v>
      </c>
      <c r="H5" s="4" t="b">
        <v>0</v>
      </c>
      <c r="I5" s="4" t="b">
        <v>0</v>
      </c>
      <c r="J5" s="4" t="b">
        <v>0</v>
      </c>
      <c r="K5" s="4">
        <v>2.9529999999999998</v>
      </c>
      <c r="L5" s="4">
        <v>5.1999999999999998E-2</v>
      </c>
      <c r="M5" s="4">
        <v>-5.8000000000000003E-2</v>
      </c>
      <c r="N5" s="4">
        <v>2348.5500000000002</v>
      </c>
      <c r="O5" s="4">
        <v>2.2440000000000002</v>
      </c>
      <c r="P5" s="4">
        <v>5.0000000000000001E-3</v>
      </c>
      <c r="Q5" s="5">
        <v>1E-3</v>
      </c>
      <c r="R5" s="5">
        <v>0.18</v>
      </c>
      <c r="S5" s="9">
        <v>58.390999999999998</v>
      </c>
      <c r="T5" s="4">
        <v>1838.375</v>
      </c>
      <c r="U5" s="4">
        <v>1.9</v>
      </c>
      <c r="V5" s="4">
        <v>2.6280000000000001</v>
      </c>
      <c r="W5" s="4">
        <v>2</v>
      </c>
      <c r="X5" s="4">
        <v>5.6920000000000002</v>
      </c>
      <c r="Y5" s="4">
        <v>12.224</v>
      </c>
      <c r="Z5" s="8">
        <v>3</v>
      </c>
      <c r="AA5" s="8">
        <v>5270</v>
      </c>
      <c r="AB5" s="4">
        <v>72</v>
      </c>
      <c r="AC5" s="4">
        <v>0.06</v>
      </c>
      <c r="AD5" s="5">
        <v>0.35499999999999998</v>
      </c>
      <c r="AE5" s="16">
        <v>0</v>
      </c>
      <c r="AF5" s="4">
        <v>0</v>
      </c>
      <c r="AG5" s="4">
        <v>0.35499999999999998</v>
      </c>
      <c r="AH5" s="4">
        <v>0.06</v>
      </c>
      <c r="AI5" s="4">
        <v>6.0879999999999997E-2</v>
      </c>
      <c r="AJ5" s="4">
        <v>1.81E-3</v>
      </c>
      <c r="AK5" s="4">
        <v>1.24E-3</v>
      </c>
      <c r="AL5" s="4">
        <v>0</v>
      </c>
      <c r="AM5" s="4">
        <v>0</v>
      </c>
      <c r="AN5" s="4">
        <v>0.95799999999999996</v>
      </c>
      <c r="AO5" s="5">
        <f t="shared" si="5"/>
        <v>5.6925996204933583E-4</v>
      </c>
      <c r="AP5" s="8">
        <f t="shared" si="6"/>
        <v>69</v>
      </c>
      <c r="AQ5" s="6">
        <f t="shared" si="0"/>
        <v>0.36898395721925131</v>
      </c>
      <c r="AR5" s="5">
        <f t="shared" si="7"/>
        <v>1.3662239089184061E-2</v>
      </c>
      <c r="AS5" s="5">
        <f t="shared" si="8"/>
        <v>0.23366068405011853</v>
      </c>
      <c r="AT5" s="5">
        <f>AVERAGE(AU2:AU5)</f>
        <v>1.0113745369666807</v>
      </c>
      <c r="AU5" s="5">
        <f t="shared" si="10"/>
        <v>2.1602160216021602</v>
      </c>
      <c r="AV5" s="4">
        <f t="shared" si="1"/>
        <v>5</v>
      </c>
      <c r="AW5" s="4">
        <f t="shared" si="2"/>
        <v>0</v>
      </c>
      <c r="AX5" s="4">
        <f t="shared" si="3"/>
        <v>0</v>
      </c>
      <c r="AY5" s="4">
        <f t="shared" si="4"/>
        <v>0</v>
      </c>
      <c r="AZ5" s="4">
        <f t="shared" si="9"/>
        <v>0</v>
      </c>
    </row>
    <row r="6" spans="1:52" x14ac:dyDescent="0.3">
      <c r="A6" s="4" t="s">
        <v>52</v>
      </c>
      <c r="B6" s="4" t="s">
        <v>56</v>
      </c>
      <c r="C6" s="4" t="s">
        <v>54</v>
      </c>
      <c r="D6" s="4" t="s">
        <v>56</v>
      </c>
      <c r="E6" s="4" t="s">
        <v>55</v>
      </c>
      <c r="F6" s="4">
        <v>2</v>
      </c>
      <c r="G6" s="4">
        <v>0.04</v>
      </c>
      <c r="H6" s="4" t="b">
        <v>0</v>
      </c>
      <c r="I6" s="4" t="b">
        <v>0</v>
      </c>
      <c r="J6" s="4" t="b">
        <v>0</v>
      </c>
      <c r="K6" s="4">
        <v>2.9529999999999998</v>
      </c>
      <c r="L6" s="4">
        <v>5.1999999999999998E-2</v>
      </c>
      <c r="M6" s="4">
        <v>-5.8000000000000003E-2</v>
      </c>
      <c r="N6" s="4">
        <v>1882.578</v>
      </c>
      <c r="O6" s="4">
        <v>2.798</v>
      </c>
      <c r="P6" s="4">
        <v>5.0000000000000001E-3</v>
      </c>
      <c r="Q6" s="5">
        <v>1E-3</v>
      </c>
      <c r="R6" s="5">
        <v>0.18</v>
      </c>
      <c r="S6" s="9">
        <v>76.775000000000006</v>
      </c>
      <c r="T6" s="4">
        <v>1838.375</v>
      </c>
      <c r="U6" s="4">
        <v>1.845</v>
      </c>
      <c r="V6" s="4">
        <v>2.5259999999999998</v>
      </c>
      <c r="W6" s="4">
        <v>1.8009999999999999</v>
      </c>
      <c r="X6" s="4">
        <v>4.5860000000000003</v>
      </c>
      <c r="Y6" s="4">
        <v>10.762</v>
      </c>
      <c r="Z6" s="8">
        <v>13</v>
      </c>
      <c r="AA6" s="8">
        <v>5270</v>
      </c>
      <c r="AB6" s="4">
        <v>125</v>
      </c>
      <c r="AC6" s="4">
        <v>0.06</v>
      </c>
      <c r="AD6" s="5">
        <v>0.61</v>
      </c>
      <c r="AE6" s="16">
        <v>0</v>
      </c>
      <c r="AF6" s="4">
        <v>0</v>
      </c>
      <c r="AG6" s="4">
        <v>0.61</v>
      </c>
      <c r="AH6" s="4">
        <v>0.26</v>
      </c>
      <c r="AI6" s="4">
        <v>0.19214000000000001</v>
      </c>
      <c r="AJ6" s="4">
        <v>7.1399999999999996E-3</v>
      </c>
      <c r="AK6" s="4">
        <v>2.8400000000000001E-3</v>
      </c>
      <c r="AL6" s="4">
        <v>0</v>
      </c>
      <c r="AM6" s="4">
        <v>0</v>
      </c>
      <c r="AN6" s="4">
        <v>1.7669999999999999</v>
      </c>
      <c r="AO6" s="5">
        <f t="shared" si="5"/>
        <v>2.4667931688804553E-3</v>
      </c>
      <c r="AP6" s="8">
        <f t="shared" si="6"/>
        <v>112</v>
      </c>
      <c r="AQ6" s="6">
        <f t="shared" si="0"/>
        <v>0.59893048128342241</v>
      </c>
      <c r="AR6" s="5">
        <f t="shared" si="7"/>
        <v>2.3719165085388995E-2</v>
      </c>
      <c r="AS6" s="5">
        <f t="shared" si="8"/>
        <v>0.37927531324077207</v>
      </c>
      <c r="AT6" s="5">
        <f>AVERAGE(AU2:AU6)</f>
        <v>1.2768977148649021</v>
      </c>
      <c r="AU6" s="5">
        <f t="shared" si="10"/>
        <v>2.3389904264577885</v>
      </c>
      <c r="AV6" s="4">
        <f t="shared" si="1"/>
        <v>0</v>
      </c>
      <c r="AW6" s="4">
        <f t="shared" si="2"/>
        <v>5</v>
      </c>
      <c r="AX6" s="4">
        <f t="shared" si="3"/>
        <v>0</v>
      </c>
      <c r="AY6" s="4">
        <f t="shared" si="4"/>
        <v>0</v>
      </c>
      <c r="AZ6" s="4">
        <f t="shared" si="9"/>
        <v>0</v>
      </c>
    </row>
    <row r="7" spans="1:52" x14ac:dyDescent="0.3">
      <c r="A7" s="4" t="s">
        <v>52</v>
      </c>
      <c r="B7" s="4" t="s">
        <v>56</v>
      </c>
      <c r="C7" s="4" t="s">
        <v>54</v>
      </c>
      <c r="D7" s="4" t="s">
        <v>56</v>
      </c>
      <c r="E7" s="4" t="s">
        <v>55</v>
      </c>
      <c r="F7" s="4">
        <v>2</v>
      </c>
      <c r="G7" s="4">
        <v>0.04</v>
      </c>
      <c r="H7" s="4" t="b">
        <v>0</v>
      </c>
      <c r="I7" s="4" t="b">
        <v>0</v>
      </c>
      <c r="J7" s="4" t="b">
        <v>0</v>
      </c>
      <c r="K7" s="4">
        <v>2.9529999999999998</v>
      </c>
      <c r="L7" s="4">
        <v>5.1999999999999998E-2</v>
      </c>
      <c r="M7" s="4">
        <v>-5.8000000000000003E-2</v>
      </c>
      <c r="N7" s="4">
        <v>2222.6979999999999</v>
      </c>
      <c r="O7" s="4">
        <v>2.3650000000000002</v>
      </c>
      <c r="P7" s="4">
        <v>5.0000000000000001E-3</v>
      </c>
      <c r="Q7" s="5">
        <v>1E-3</v>
      </c>
      <c r="R7" s="5">
        <v>0.18</v>
      </c>
      <c r="S7" s="9">
        <v>94.019000000000005</v>
      </c>
      <c r="T7" s="4">
        <v>1838.375</v>
      </c>
      <c r="U7" s="4">
        <v>1.7769999999999999</v>
      </c>
      <c r="V7" s="4">
        <v>2.4540000000000002</v>
      </c>
      <c r="W7" s="4">
        <v>1.8979999999999999</v>
      </c>
      <c r="X7" s="4">
        <v>4.3529999999999998</v>
      </c>
      <c r="Y7" s="4">
        <v>10.486000000000001</v>
      </c>
      <c r="Z7" s="8">
        <v>33</v>
      </c>
      <c r="AA7" s="8">
        <v>5270</v>
      </c>
      <c r="AB7" s="4">
        <v>175</v>
      </c>
      <c r="AC7" s="4">
        <v>0.06</v>
      </c>
      <c r="AD7" s="5">
        <v>0.81</v>
      </c>
      <c r="AE7" s="16">
        <v>0</v>
      </c>
      <c r="AF7" s="4">
        <v>0</v>
      </c>
      <c r="AG7" s="4">
        <v>0.81</v>
      </c>
      <c r="AH7" s="4">
        <v>0.46</v>
      </c>
      <c r="AI7" s="4">
        <v>0.38868000000000003</v>
      </c>
      <c r="AJ7" s="4">
        <v>1.14E-2</v>
      </c>
      <c r="AK7" s="4">
        <v>4.5799999999999999E-3</v>
      </c>
      <c r="AL7" s="4">
        <v>0</v>
      </c>
      <c r="AM7" s="4">
        <v>0</v>
      </c>
      <c r="AN7" s="4">
        <v>1.913</v>
      </c>
      <c r="AO7" s="5">
        <f t="shared" si="5"/>
        <v>6.2618595825426945E-3</v>
      </c>
      <c r="AP7" s="8">
        <f t="shared" si="6"/>
        <v>142</v>
      </c>
      <c r="AQ7" s="6">
        <f t="shared" si="0"/>
        <v>0.75935828877005351</v>
      </c>
      <c r="AR7" s="5">
        <f t="shared" si="7"/>
        <v>3.3206831119544589E-2</v>
      </c>
      <c r="AS7" s="5">
        <f t="shared" si="8"/>
        <v>0.48086691500169315</v>
      </c>
      <c r="AT7" s="5">
        <f t="shared" ref="AT7:AT70" si="11">AVERAGE(AU3:AU7)</f>
        <v>1.6248448269038722</v>
      </c>
      <c r="AU7" s="5">
        <f t="shared" si="10"/>
        <v>1.7397355601948503</v>
      </c>
      <c r="AV7" s="4">
        <f t="shared" si="1"/>
        <v>0</v>
      </c>
      <c r="AW7" s="4">
        <f t="shared" si="2"/>
        <v>5</v>
      </c>
      <c r="AX7" s="4">
        <f t="shared" si="3"/>
        <v>0</v>
      </c>
      <c r="AY7" s="4">
        <f t="shared" si="4"/>
        <v>0</v>
      </c>
      <c r="AZ7" s="4">
        <f t="shared" si="9"/>
        <v>0</v>
      </c>
    </row>
    <row r="8" spans="1:52" x14ac:dyDescent="0.3">
      <c r="A8" s="4" t="s">
        <v>52</v>
      </c>
      <c r="B8" s="4" t="s">
        <v>56</v>
      </c>
      <c r="C8" s="4" t="s">
        <v>54</v>
      </c>
      <c r="D8" s="4" t="s">
        <v>56</v>
      </c>
      <c r="E8" s="4" t="s">
        <v>55</v>
      </c>
      <c r="F8" s="4">
        <v>2</v>
      </c>
      <c r="G8" s="4">
        <v>0.04</v>
      </c>
      <c r="H8" s="4" t="b">
        <v>0</v>
      </c>
      <c r="I8" s="4" t="b">
        <v>0</v>
      </c>
      <c r="J8" s="4" t="b">
        <v>0</v>
      </c>
      <c r="K8" s="4">
        <v>2.9529999999999998</v>
      </c>
      <c r="L8" s="4">
        <v>5.1999999999999998E-2</v>
      </c>
      <c r="M8" s="4">
        <v>-5.8000000000000003E-2</v>
      </c>
      <c r="N8" s="4">
        <v>2961.1819999999998</v>
      </c>
      <c r="O8" s="4">
        <v>1.7689999999999999</v>
      </c>
      <c r="P8" s="4">
        <v>5.0000000000000001E-3</v>
      </c>
      <c r="Q8" s="5">
        <v>1E-3</v>
      </c>
      <c r="R8" s="5">
        <v>0.18</v>
      </c>
      <c r="S8" s="9">
        <v>110.72</v>
      </c>
      <c r="T8" s="4">
        <v>1838.375</v>
      </c>
      <c r="U8" s="4">
        <v>1.996</v>
      </c>
      <c r="V8" s="4">
        <v>2.5569999999999999</v>
      </c>
      <c r="W8" s="4">
        <v>1.774</v>
      </c>
      <c r="X8" s="4">
        <v>4.1879999999999997</v>
      </c>
      <c r="Y8" s="4">
        <v>10.519</v>
      </c>
      <c r="Z8" s="8">
        <v>63</v>
      </c>
      <c r="AA8" s="8">
        <v>5270</v>
      </c>
      <c r="AB8" s="4">
        <v>225</v>
      </c>
      <c r="AC8" s="4">
        <v>0.06</v>
      </c>
      <c r="AD8" s="5">
        <v>0.96</v>
      </c>
      <c r="AE8" s="16">
        <v>0</v>
      </c>
      <c r="AF8" s="4">
        <v>0</v>
      </c>
      <c r="AG8" s="4">
        <v>0.96</v>
      </c>
      <c r="AH8" s="4">
        <v>1.06</v>
      </c>
      <c r="AI8" s="4">
        <v>0.73604000000000003</v>
      </c>
      <c r="AJ8" s="4">
        <v>2.0799999999999999E-2</v>
      </c>
      <c r="AK8" s="4">
        <v>8.6E-3</v>
      </c>
      <c r="AL8" s="4">
        <v>0</v>
      </c>
      <c r="AM8" s="4">
        <v>0</v>
      </c>
      <c r="AN8" s="4">
        <v>2.121</v>
      </c>
      <c r="AO8" s="5">
        <f t="shared" si="5"/>
        <v>1.1954459203036054E-2</v>
      </c>
      <c r="AP8" s="8">
        <f t="shared" si="6"/>
        <v>162</v>
      </c>
      <c r="AQ8" s="6">
        <f t="shared" si="0"/>
        <v>0.86631016042780751</v>
      </c>
      <c r="AR8" s="5">
        <f t="shared" si="7"/>
        <v>4.2694497153700189E-2</v>
      </c>
      <c r="AS8" s="5">
        <f t="shared" si="8"/>
        <v>0.54859464950897385</v>
      </c>
      <c r="AT8" s="5">
        <f t="shared" si="11"/>
        <v>1.7644201460409974</v>
      </c>
      <c r="AU8" s="5">
        <f t="shared" si="10"/>
        <v>1.1975330818513865</v>
      </c>
      <c r="AV8" s="4">
        <f t="shared" si="1"/>
        <v>0</v>
      </c>
      <c r="AW8" s="4">
        <f t="shared" si="2"/>
        <v>5</v>
      </c>
      <c r="AX8" s="4">
        <f t="shared" si="3"/>
        <v>0</v>
      </c>
      <c r="AY8" s="4">
        <f t="shared" si="4"/>
        <v>0</v>
      </c>
      <c r="AZ8" s="4">
        <f t="shared" si="9"/>
        <v>0</v>
      </c>
    </row>
    <row r="9" spans="1:52" x14ac:dyDescent="0.3">
      <c r="A9" s="4" t="s">
        <v>52</v>
      </c>
      <c r="B9" s="4" t="s">
        <v>56</v>
      </c>
      <c r="C9" s="4" t="s">
        <v>54</v>
      </c>
      <c r="D9" s="4" t="s">
        <v>56</v>
      </c>
      <c r="E9" s="4" t="s">
        <v>55</v>
      </c>
      <c r="F9" s="4">
        <v>2</v>
      </c>
      <c r="G9" s="4">
        <v>0.04</v>
      </c>
      <c r="H9" s="4" t="b">
        <v>0</v>
      </c>
      <c r="I9" s="4" t="b">
        <v>0</v>
      </c>
      <c r="J9" s="4" t="b">
        <v>0</v>
      </c>
      <c r="K9" s="4">
        <v>2.9529999999999998</v>
      </c>
      <c r="L9" s="4">
        <v>5.1999999999999998E-2</v>
      </c>
      <c r="M9" s="4">
        <v>-5.8000000000000003E-2</v>
      </c>
      <c r="N9" s="4">
        <v>4363.5529999999999</v>
      </c>
      <c r="O9" s="4">
        <v>1.1930000000000001</v>
      </c>
      <c r="P9" s="4">
        <v>5.0000000000000001E-3</v>
      </c>
      <c r="Q9" s="5">
        <v>1E-3</v>
      </c>
      <c r="R9" s="5">
        <v>0.18</v>
      </c>
      <c r="S9" s="9">
        <v>127.133</v>
      </c>
      <c r="T9" s="4">
        <v>1838.375</v>
      </c>
      <c r="U9" s="4">
        <v>1.754</v>
      </c>
      <c r="V9" s="4">
        <v>2.427</v>
      </c>
      <c r="W9" s="4">
        <v>1.764</v>
      </c>
      <c r="X9" s="4">
        <v>5.9480000000000004</v>
      </c>
      <c r="Y9" s="4">
        <v>11.897</v>
      </c>
      <c r="Z9" s="8">
        <v>102</v>
      </c>
      <c r="AA9" s="8">
        <v>5270</v>
      </c>
      <c r="AB9" s="4">
        <v>275</v>
      </c>
      <c r="AC9" s="4">
        <v>0.06</v>
      </c>
      <c r="AD9" s="5">
        <v>1</v>
      </c>
      <c r="AE9" s="16">
        <v>0</v>
      </c>
      <c r="AF9" s="4">
        <v>0</v>
      </c>
      <c r="AG9" s="4">
        <v>1</v>
      </c>
      <c r="AH9" s="4">
        <v>1.76</v>
      </c>
      <c r="AI9" s="4">
        <v>1.1825699999999999</v>
      </c>
      <c r="AJ9" s="4">
        <v>2.7199999999999998E-2</v>
      </c>
      <c r="AK9" s="4">
        <v>1.349E-2</v>
      </c>
      <c r="AL9" s="4">
        <v>0</v>
      </c>
      <c r="AM9" s="4">
        <v>0</v>
      </c>
      <c r="AN9" s="4">
        <v>1.869</v>
      </c>
      <c r="AO9" s="5">
        <f t="shared" si="5"/>
        <v>1.935483870967742E-2</v>
      </c>
      <c r="AP9" s="8">
        <f t="shared" si="6"/>
        <v>173</v>
      </c>
      <c r="AQ9" s="6">
        <f t="shared" si="0"/>
        <v>0.92513368983957223</v>
      </c>
      <c r="AR9" s="5">
        <f t="shared" si="7"/>
        <v>5.218216318785579E-2</v>
      </c>
      <c r="AS9" s="5">
        <f t="shared" si="8"/>
        <v>0.58584490348797835</v>
      </c>
      <c r="AT9" s="5">
        <f t="shared" si="11"/>
        <v>1.6213351081936616</v>
      </c>
      <c r="AU9" s="5">
        <f t="shared" si="10"/>
        <v>0.67020045086212165</v>
      </c>
      <c r="AV9" s="4">
        <f t="shared" si="1"/>
        <v>0</v>
      </c>
      <c r="AW9" s="4">
        <f t="shared" si="2"/>
        <v>5</v>
      </c>
      <c r="AX9" s="4">
        <f t="shared" si="3"/>
        <v>0</v>
      </c>
      <c r="AY9" s="4">
        <f t="shared" si="4"/>
        <v>0</v>
      </c>
      <c r="AZ9" s="4">
        <f t="shared" si="9"/>
        <v>0</v>
      </c>
    </row>
    <row r="10" spans="1:52" x14ac:dyDescent="0.3">
      <c r="A10" s="4" t="s">
        <v>52</v>
      </c>
      <c r="B10" s="4" t="s">
        <v>56</v>
      </c>
      <c r="C10" s="4" t="s">
        <v>54</v>
      </c>
      <c r="D10" s="4" t="s">
        <v>56</v>
      </c>
      <c r="E10" s="4" t="s">
        <v>55</v>
      </c>
      <c r="F10" s="4">
        <v>2</v>
      </c>
      <c r="G10" s="4">
        <v>0.04</v>
      </c>
      <c r="H10" s="4" t="b">
        <v>0</v>
      </c>
      <c r="I10" s="4" t="b">
        <v>0</v>
      </c>
      <c r="J10" s="4" t="b">
        <v>0</v>
      </c>
      <c r="K10" s="4">
        <v>2.9529999999999998</v>
      </c>
      <c r="L10" s="4">
        <v>5.1999999999999998E-2</v>
      </c>
      <c r="M10" s="4">
        <v>-5.8000000000000003E-2</v>
      </c>
      <c r="N10" s="4">
        <v>7061.973</v>
      </c>
      <c r="O10" s="4">
        <v>0.73199999999999998</v>
      </c>
      <c r="P10" s="4">
        <v>5.0000000000000001E-3</v>
      </c>
      <c r="Q10" s="5">
        <v>1E-3</v>
      </c>
      <c r="R10" s="5">
        <v>0.18</v>
      </c>
      <c r="S10" s="9">
        <v>142.863</v>
      </c>
      <c r="T10" s="4">
        <v>1838.375</v>
      </c>
      <c r="U10" s="4">
        <v>1.851</v>
      </c>
      <c r="V10" s="4">
        <v>2.669</v>
      </c>
      <c r="W10" s="4">
        <v>1.8360000000000001</v>
      </c>
      <c r="X10" s="4">
        <v>5.4850000000000003</v>
      </c>
      <c r="Y10" s="4">
        <v>11.845000000000001</v>
      </c>
      <c r="Z10" s="8">
        <v>145</v>
      </c>
      <c r="AA10" s="8">
        <v>5270</v>
      </c>
      <c r="AB10" s="4">
        <v>327</v>
      </c>
      <c r="AC10" s="4">
        <v>0.06</v>
      </c>
      <c r="AD10" s="5">
        <v>1</v>
      </c>
      <c r="AE10" s="16">
        <v>0</v>
      </c>
      <c r="AF10" s="4">
        <v>0</v>
      </c>
      <c r="AG10" s="4">
        <v>1</v>
      </c>
      <c r="AH10" s="4">
        <v>2.08</v>
      </c>
      <c r="AI10" s="4">
        <v>1.68103</v>
      </c>
      <c r="AJ10" s="4">
        <v>3.1690000000000003E-2</v>
      </c>
      <c r="AK10" s="4">
        <v>1.9179999999999999E-2</v>
      </c>
      <c r="AL10" s="4">
        <v>0</v>
      </c>
      <c r="AM10" s="4">
        <v>0</v>
      </c>
      <c r="AN10" s="4">
        <v>1.538</v>
      </c>
      <c r="AO10" s="5">
        <f t="shared" si="5"/>
        <v>2.7514231499051234E-2</v>
      </c>
      <c r="AP10" s="8">
        <f t="shared" si="6"/>
        <v>182</v>
      </c>
      <c r="AQ10" s="6">
        <f t="shared" si="0"/>
        <v>0.9732620320855615</v>
      </c>
      <c r="AR10" s="5">
        <f t="shared" si="7"/>
        <v>6.204933586337761E-2</v>
      </c>
      <c r="AS10" s="5">
        <f t="shared" si="8"/>
        <v>0.61632238401625461</v>
      </c>
      <c r="AT10" s="5">
        <f t="shared" si="11"/>
        <v>1.3037229273951618</v>
      </c>
      <c r="AU10" s="5">
        <f t="shared" si="10"/>
        <v>0.57215511760966287</v>
      </c>
      <c r="AV10" s="4">
        <f t="shared" si="1"/>
        <v>0</v>
      </c>
      <c r="AW10" s="4">
        <f t="shared" si="2"/>
        <v>5</v>
      </c>
      <c r="AX10" s="4">
        <f t="shared" si="3"/>
        <v>0</v>
      </c>
      <c r="AY10" s="4">
        <f t="shared" si="4"/>
        <v>0</v>
      </c>
      <c r="AZ10" s="4">
        <f t="shared" si="9"/>
        <v>0</v>
      </c>
    </row>
    <row r="11" spans="1:52" x14ac:dyDescent="0.3">
      <c r="A11" s="4" t="s">
        <v>52</v>
      </c>
      <c r="B11" s="4" t="s">
        <v>56</v>
      </c>
      <c r="C11" s="4" t="s">
        <v>54</v>
      </c>
      <c r="D11" s="4" t="s">
        <v>56</v>
      </c>
      <c r="E11" s="4" t="s">
        <v>55</v>
      </c>
      <c r="F11" s="4">
        <v>2</v>
      </c>
      <c r="G11" s="4">
        <v>0.04</v>
      </c>
      <c r="H11" s="4" t="b">
        <v>0</v>
      </c>
      <c r="I11" s="4" t="b">
        <v>0</v>
      </c>
      <c r="J11" s="4" t="b">
        <v>0</v>
      </c>
      <c r="K11" s="4">
        <v>2.9529999999999998</v>
      </c>
      <c r="L11" s="4">
        <v>5.1999999999999998E-2</v>
      </c>
      <c r="M11" s="4">
        <v>-5.8000000000000003E-2</v>
      </c>
      <c r="N11" s="4">
        <v>26801.118999999999</v>
      </c>
      <c r="O11" s="4">
        <v>0.191</v>
      </c>
      <c r="P11" s="4">
        <v>5.0000000000000001E-3</v>
      </c>
      <c r="Q11" s="5">
        <v>1E-3</v>
      </c>
      <c r="R11" s="5">
        <v>0.18</v>
      </c>
      <c r="S11" s="9">
        <v>159.91</v>
      </c>
      <c r="T11" s="4">
        <v>1838.375</v>
      </c>
      <c r="U11" s="4">
        <v>3.9169999999999998</v>
      </c>
      <c r="V11" s="4">
        <v>2.6309999999999998</v>
      </c>
      <c r="W11" s="4">
        <v>2.0329999999999999</v>
      </c>
      <c r="X11" s="4">
        <v>5.4039999999999999</v>
      </c>
      <c r="Y11" s="4">
        <v>13.988</v>
      </c>
      <c r="Z11" s="8">
        <v>199</v>
      </c>
      <c r="AA11" s="8">
        <v>5270</v>
      </c>
      <c r="AB11" s="4">
        <v>373</v>
      </c>
      <c r="AC11" s="4">
        <v>0.06</v>
      </c>
      <c r="AD11" s="5">
        <v>1</v>
      </c>
      <c r="AE11" s="16">
        <v>0</v>
      </c>
      <c r="AF11" s="4">
        <v>0</v>
      </c>
      <c r="AG11" s="4">
        <v>1</v>
      </c>
      <c r="AH11" s="4">
        <v>2.56</v>
      </c>
      <c r="AI11" s="4">
        <v>2.23732</v>
      </c>
      <c r="AJ11" s="4">
        <v>3.2629999999999999E-2</v>
      </c>
      <c r="AK11" s="4">
        <v>2.46E-2</v>
      </c>
      <c r="AL11" s="4">
        <v>0</v>
      </c>
      <c r="AM11" s="4">
        <v>0</v>
      </c>
      <c r="AN11" s="4">
        <v>0.95799999999999996</v>
      </c>
      <c r="AO11" s="5">
        <f t="shared" si="5"/>
        <v>3.7760910815939276E-2</v>
      </c>
      <c r="AP11" s="8">
        <f t="shared" si="6"/>
        <v>174</v>
      </c>
      <c r="AQ11" s="6">
        <f t="shared" si="0"/>
        <v>0.93048128342245995</v>
      </c>
      <c r="AR11" s="5">
        <f t="shared" si="7"/>
        <v>7.0777988614800766E-2</v>
      </c>
      <c r="AS11" s="5">
        <f t="shared" si="8"/>
        <v>0.58923129021334231</v>
      </c>
      <c r="AT11" s="5">
        <f t="shared" si="11"/>
        <v>0.74206668524315966</v>
      </c>
      <c r="AU11" s="5">
        <f t="shared" si="10"/>
        <v>-0.46929078430222337</v>
      </c>
      <c r="AV11" s="4">
        <f t="shared" si="1"/>
        <v>0</v>
      </c>
      <c r="AW11" s="4">
        <f t="shared" si="2"/>
        <v>5</v>
      </c>
      <c r="AX11" s="4">
        <f t="shared" si="3"/>
        <v>0</v>
      </c>
      <c r="AY11" s="4">
        <f t="shared" si="4"/>
        <v>0</v>
      </c>
      <c r="AZ11" s="4">
        <f t="shared" si="9"/>
        <v>0</v>
      </c>
    </row>
    <row r="12" spans="1:52" x14ac:dyDescent="0.3">
      <c r="A12" s="4" t="s">
        <v>52</v>
      </c>
      <c r="B12" s="4" t="s">
        <v>56</v>
      </c>
      <c r="C12" s="4" t="s">
        <v>54</v>
      </c>
      <c r="D12" s="4" t="s">
        <v>56</v>
      </c>
      <c r="E12" s="4" t="s">
        <v>55</v>
      </c>
      <c r="F12" s="4">
        <v>2</v>
      </c>
      <c r="G12" s="4">
        <v>0.04</v>
      </c>
      <c r="H12" s="4" t="b">
        <v>0</v>
      </c>
      <c r="I12" s="4" t="b">
        <v>0</v>
      </c>
      <c r="J12" s="4" t="b">
        <v>0</v>
      </c>
      <c r="K12" s="4">
        <v>2.9529999999999998</v>
      </c>
      <c r="L12" s="4">
        <v>5.1999999999999998E-2</v>
      </c>
      <c r="M12" s="4">
        <v>-5.8000000000000003E-2</v>
      </c>
      <c r="N12" s="4">
        <v>32408.763999999999</v>
      </c>
      <c r="O12" s="4">
        <v>0.156</v>
      </c>
      <c r="P12" s="4">
        <v>5.0000000000000001E-3</v>
      </c>
      <c r="Q12" s="5">
        <v>1E-3</v>
      </c>
      <c r="R12" s="5">
        <v>0.18</v>
      </c>
      <c r="S12" s="9">
        <v>176.518</v>
      </c>
      <c r="T12" s="4">
        <v>1838.375</v>
      </c>
      <c r="U12" s="4">
        <v>1.637</v>
      </c>
      <c r="V12" s="4">
        <v>2.37</v>
      </c>
      <c r="W12" s="4">
        <v>1.643</v>
      </c>
      <c r="X12" s="4">
        <v>4.1639999999999997</v>
      </c>
      <c r="Y12" s="4">
        <v>9.8170000000000002</v>
      </c>
      <c r="Z12" s="8">
        <v>243</v>
      </c>
      <c r="AA12" s="8">
        <v>5270</v>
      </c>
      <c r="AB12" s="4">
        <v>430</v>
      </c>
      <c r="AC12" s="4">
        <v>0.06</v>
      </c>
      <c r="AD12" s="5">
        <v>1</v>
      </c>
      <c r="AE12" s="16">
        <v>0</v>
      </c>
      <c r="AF12" s="4">
        <v>0</v>
      </c>
      <c r="AG12" s="4">
        <v>1</v>
      </c>
      <c r="AH12" s="4">
        <v>2.84</v>
      </c>
      <c r="AI12" s="4">
        <v>2.54549</v>
      </c>
      <c r="AJ12" s="4">
        <v>1.856E-2</v>
      </c>
      <c r="AK12" s="4">
        <v>2.614E-2</v>
      </c>
      <c r="AL12" s="4">
        <v>0</v>
      </c>
      <c r="AM12" s="4">
        <v>0</v>
      </c>
      <c r="AN12" s="4">
        <v>0.76100000000000001</v>
      </c>
      <c r="AO12" s="5">
        <f t="shared" si="5"/>
        <v>4.6110056925996207E-2</v>
      </c>
      <c r="AP12" s="8">
        <f t="shared" si="6"/>
        <v>187</v>
      </c>
      <c r="AQ12" s="6">
        <f t="shared" si="0"/>
        <v>1</v>
      </c>
      <c r="AR12" s="5">
        <f t="shared" si="7"/>
        <v>8.1593927893738136E-2</v>
      </c>
      <c r="AS12" s="5">
        <f t="shared" si="8"/>
        <v>0.63325431764307483</v>
      </c>
      <c r="AT12" s="5">
        <f t="shared" si="11"/>
        <v>0.55067063293443996</v>
      </c>
      <c r="AU12" s="5">
        <f t="shared" si="10"/>
        <v>0.78275529865125226</v>
      </c>
      <c r="AV12" s="4">
        <f t="shared" si="1"/>
        <v>0</v>
      </c>
      <c r="AW12" s="4">
        <f t="shared" si="2"/>
        <v>5</v>
      </c>
      <c r="AX12" s="4">
        <f t="shared" si="3"/>
        <v>0</v>
      </c>
      <c r="AY12" s="4">
        <f t="shared" si="4"/>
        <v>0</v>
      </c>
      <c r="AZ12" s="4">
        <f t="shared" si="9"/>
        <v>0</v>
      </c>
    </row>
    <row r="13" spans="1:52" x14ac:dyDescent="0.3">
      <c r="A13" s="4" t="s">
        <v>52</v>
      </c>
      <c r="B13" s="4" t="s">
        <v>56</v>
      </c>
      <c r="C13" s="4" t="s">
        <v>54</v>
      </c>
      <c r="D13" s="4" t="s">
        <v>56</v>
      </c>
      <c r="E13" s="4" t="s">
        <v>55</v>
      </c>
      <c r="F13" s="4">
        <v>2</v>
      </c>
      <c r="G13" s="4">
        <v>0.04</v>
      </c>
      <c r="H13" s="4" t="b">
        <v>0</v>
      </c>
      <c r="I13" s="4" t="b">
        <v>0</v>
      </c>
      <c r="J13" s="4" t="b">
        <v>0</v>
      </c>
      <c r="K13" s="4">
        <v>2.9529999999999998</v>
      </c>
      <c r="L13" s="4">
        <v>5.1999999999999998E-2</v>
      </c>
      <c r="M13" s="4">
        <v>-5.8000000000000003E-2</v>
      </c>
      <c r="N13" s="4">
        <v>-8929</v>
      </c>
      <c r="O13" s="4">
        <v>-0.56299999999999994</v>
      </c>
      <c r="P13" s="4">
        <v>5.0000000000000001E-3</v>
      </c>
      <c r="Q13" s="5">
        <v>1E-3</v>
      </c>
      <c r="R13" s="5">
        <v>0.18</v>
      </c>
      <c r="S13" s="9">
        <v>189.03800000000001</v>
      </c>
      <c r="T13" s="4">
        <v>1838.375</v>
      </c>
      <c r="U13" s="4">
        <v>1.986</v>
      </c>
      <c r="V13" s="4">
        <v>2.448</v>
      </c>
      <c r="W13" s="4">
        <v>1.633</v>
      </c>
      <c r="X13" s="4">
        <v>3.8980000000000001</v>
      </c>
      <c r="Y13" s="4">
        <v>9.9689999999999994</v>
      </c>
      <c r="Z13" s="8">
        <v>280</v>
      </c>
      <c r="AA13" s="8">
        <v>5270</v>
      </c>
      <c r="AB13" s="4">
        <v>467</v>
      </c>
      <c r="AC13" s="4">
        <v>0.06</v>
      </c>
      <c r="AD13" s="5">
        <v>1</v>
      </c>
      <c r="AE13" s="16">
        <v>0</v>
      </c>
      <c r="AF13" s="4">
        <v>0</v>
      </c>
      <c r="AG13" s="4">
        <v>1</v>
      </c>
      <c r="AH13" s="4">
        <v>2.92</v>
      </c>
      <c r="AI13" s="4">
        <v>2.77074</v>
      </c>
      <c r="AJ13" s="4">
        <v>1.7989999999999999E-2</v>
      </c>
      <c r="AK13" s="4">
        <v>2.598E-2</v>
      </c>
      <c r="AL13" s="4">
        <v>0</v>
      </c>
      <c r="AM13" s="4">
        <v>0</v>
      </c>
      <c r="AN13" s="4">
        <v>0.52100000000000002</v>
      </c>
      <c r="AO13" s="5">
        <f t="shared" si="5"/>
        <v>5.3130929791271347E-2</v>
      </c>
      <c r="AP13" s="8">
        <f t="shared" si="6"/>
        <v>187</v>
      </c>
      <c r="AQ13" s="6">
        <f t="shared" si="0"/>
        <v>1</v>
      </c>
      <c r="AR13" s="5">
        <f t="shared" si="7"/>
        <v>8.8614800759013276E-2</v>
      </c>
      <c r="AS13" s="5">
        <f t="shared" si="8"/>
        <v>0.63325431764307483</v>
      </c>
      <c r="AT13" s="5">
        <f t="shared" si="11"/>
        <v>0.3111640165641627</v>
      </c>
      <c r="AU13" s="5">
        <f t="shared" si="10"/>
        <v>0</v>
      </c>
      <c r="AV13" s="4">
        <f t="shared" si="1"/>
        <v>0</v>
      </c>
      <c r="AW13" s="4">
        <f t="shared" si="2"/>
        <v>5</v>
      </c>
      <c r="AX13" s="4">
        <f t="shared" si="3"/>
        <v>0</v>
      </c>
      <c r="AY13" s="4">
        <f t="shared" si="4"/>
        <v>0</v>
      </c>
      <c r="AZ13" s="4">
        <f t="shared" si="9"/>
        <v>0</v>
      </c>
    </row>
    <row r="14" spans="1:52" x14ac:dyDescent="0.3">
      <c r="A14" s="4" t="s">
        <v>52</v>
      </c>
      <c r="B14" s="4" t="s">
        <v>56</v>
      </c>
      <c r="C14" s="4" t="s">
        <v>54</v>
      </c>
      <c r="D14" s="4" t="s">
        <v>57</v>
      </c>
      <c r="E14" s="4" t="s">
        <v>55</v>
      </c>
      <c r="F14" s="4">
        <v>2</v>
      </c>
      <c r="G14" s="4">
        <v>0.04</v>
      </c>
      <c r="H14" s="4" t="b">
        <v>0</v>
      </c>
      <c r="I14" s="4" t="b">
        <v>0</v>
      </c>
      <c r="J14" s="4" t="b">
        <v>0</v>
      </c>
      <c r="K14" s="4">
        <v>2.9529999999999998</v>
      </c>
      <c r="L14" s="4">
        <v>5.1999999999999998E-2</v>
      </c>
      <c r="M14" s="4">
        <v>-5.8000000000000003E-2</v>
      </c>
      <c r="N14" s="4">
        <v>0</v>
      </c>
      <c r="O14" s="4">
        <v>0</v>
      </c>
      <c r="P14" s="4">
        <v>5.0000000000000001E-3</v>
      </c>
      <c r="Q14" s="5">
        <v>1E-3</v>
      </c>
      <c r="R14" s="5">
        <v>0.18</v>
      </c>
      <c r="S14" s="9">
        <v>201.697</v>
      </c>
      <c r="T14" s="4">
        <v>1838.375</v>
      </c>
      <c r="U14" s="4">
        <v>1.752</v>
      </c>
      <c r="V14" s="4">
        <v>2.4809999999999999</v>
      </c>
      <c r="W14" s="4">
        <v>1.7150000000000001</v>
      </c>
      <c r="X14" s="4">
        <v>3.9369999999999998</v>
      </c>
      <c r="Y14" s="4">
        <v>9.8879999999999999</v>
      </c>
      <c r="Z14" s="8">
        <v>319</v>
      </c>
      <c r="AA14" s="8">
        <v>5270</v>
      </c>
      <c r="AB14" s="4">
        <v>504</v>
      </c>
      <c r="AC14" s="4">
        <v>0.06</v>
      </c>
      <c r="AD14" s="5">
        <v>1</v>
      </c>
      <c r="AE14" s="16">
        <v>0.08</v>
      </c>
      <c r="AF14" s="4">
        <v>0</v>
      </c>
      <c r="AG14" s="4">
        <v>1</v>
      </c>
      <c r="AH14" s="4">
        <v>2.96</v>
      </c>
      <c r="AI14" s="4">
        <v>2.9102700000000001</v>
      </c>
      <c r="AJ14" s="4">
        <v>1.102E-2</v>
      </c>
      <c r="AK14" s="4">
        <v>2.317E-2</v>
      </c>
      <c r="AL14" s="4">
        <v>0</v>
      </c>
      <c r="AM14" s="4">
        <v>0</v>
      </c>
      <c r="AN14" s="4">
        <v>0.45500000000000002</v>
      </c>
      <c r="AO14" s="5">
        <f t="shared" si="5"/>
        <v>6.0531309297912714E-2</v>
      </c>
      <c r="AP14" s="8">
        <f t="shared" si="6"/>
        <v>185</v>
      </c>
      <c r="AQ14" s="6">
        <f t="shared" si="0"/>
        <v>0.98930481283422456</v>
      </c>
      <c r="AR14" s="5">
        <f t="shared" si="7"/>
        <v>9.5635673624288431E-2</v>
      </c>
      <c r="AS14" s="5">
        <f t="shared" si="8"/>
        <v>0.6264815441923467</v>
      </c>
      <c r="AT14" s="5">
        <f t="shared" si="11"/>
        <v>0.14552585387416189</v>
      </c>
      <c r="AU14" s="5">
        <f t="shared" si="10"/>
        <v>-0.15799036258788224</v>
      </c>
      <c r="AV14" s="4">
        <f t="shared" si="1"/>
        <v>0</v>
      </c>
      <c r="AW14" s="4">
        <f t="shared" si="2"/>
        <v>5</v>
      </c>
      <c r="AX14" s="4">
        <f t="shared" si="3"/>
        <v>0</v>
      </c>
      <c r="AY14" s="4">
        <f t="shared" si="4"/>
        <v>0</v>
      </c>
      <c r="AZ14" s="4">
        <f t="shared" si="9"/>
        <v>0</v>
      </c>
    </row>
    <row r="15" spans="1:52" x14ac:dyDescent="0.3">
      <c r="A15" s="4" t="s">
        <v>52</v>
      </c>
      <c r="B15" s="4" t="s">
        <v>56</v>
      </c>
      <c r="C15" s="4" t="s">
        <v>54</v>
      </c>
      <c r="D15" s="4" t="s">
        <v>56</v>
      </c>
      <c r="E15" s="4" t="s">
        <v>55</v>
      </c>
      <c r="F15" s="4">
        <v>2</v>
      </c>
      <c r="G15" s="4">
        <v>0.04</v>
      </c>
      <c r="H15" s="4" t="b">
        <v>0</v>
      </c>
      <c r="I15" s="4" t="b">
        <v>0</v>
      </c>
      <c r="J15" s="4" t="b">
        <v>0</v>
      </c>
      <c r="K15" s="4">
        <v>2.9529999999999998</v>
      </c>
      <c r="L15" s="4">
        <v>5.1999999999999998E-2</v>
      </c>
      <c r="M15" s="4">
        <v>-5.8000000000000003E-2</v>
      </c>
      <c r="N15" s="4">
        <v>-31146.538</v>
      </c>
      <c r="O15" s="4">
        <v>-0.159</v>
      </c>
      <c r="P15" s="4">
        <v>5.0000000000000001E-3</v>
      </c>
      <c r="Q15" s="5">
        <v>1E-3</v>
      </c>
      <c r="R15" s="5">
        <v>0.18</v>
      </c>
      <c r="S15" s="9">
        <v>214.48099999999999</v>
      </c>
      <c r="T15" s="4">
        <v>1838.375</v>
      </c>
      <c r="U15" s="4">
        <v>1.635</v>
      </c>
      <c r="V15" s="4">
        <v>2.4470000000000001</v>
      </c>
      <c r="W15" s="4">
        <v>1.6870000000000001</v>
      </c>
      <c r="X15" s="4">
        <v>4.0229999999999997</v>
      </c>
      <c r="Y15" s="4">
        <v>9.7959999999999994</v>
      </c>
      <c r="Z15" s="8">
        <v>357</v>
      </c>
      <c r="AA15" s="8">
        <v>5270</v>
      </c>
      <c r="AB15" s="4">
        <v>541</v>
      </c>
      <c r="AC15" s="4">
        <v>0.06</v>
      </c>
      <c r="AD15" s="5">
        <v>1</v>
      </c>
      <c r="AE15" s="16">
        <v>0</v>
      </c>
      <c r="AF15" s="4">
        <v>0</v>
      </c>
      <c r="AG15" s="4">
        <v>1</v>
      </c>
      <c r="AH15" s="4">
        <v>3</v>
      </c>
      <c r="AI15" s="4">
        <v>2.9601299999999999</v>
      </c>
      <c r="AJ15" s="4">
        <v>3.8999999999999998E-3</v>
      </c>
      <c r="AK15" s="4">
        <v>1.7860000000000001E-2</v>
      </c>
      <c r="AL15" s="4">
        <v>0</v>
      </c>
      <c r="AM15" s="4">
        <v>0</v>
      </c>
      <c r="AN15" s="4">
        <v>0.41499999999999998</v>
      </c>
      <c r="AO15" s="5">
        <f t="shared" si="5"/>
        <v>6.7741935483870974E-2</v>
      </c>
      <c r="AP15" s="8">
        <f t="shared" si="6"/>
        <v>184</v>
      </c>
      <c r="AQ15" s="6">
        <f t="shared" si="0"/>
        <v>0.98395721925133695</v>
      </c>
      <c r="AR15" s="5">
        <f t="shared" si="7"/>
        <v>0.10265654648956357</v>
      </c>
      <c r="AS15" s="5">
        <f t="shared" si="8"/>
        <v>0.62309515746698274</v>
      </c>
      <c r="AT15" s="5">
        <f t="shared" si="11"/>
        <v>1.5450274657611045E-2</v>
      </c>
      <c r="AU15" s="5">
        <f t="shared" si="10"/>
        <v>-7.822277847309142E-2</v>
      </c>
      <c r="AV15" s="4">
        <f t="shared" si="1"/>
        <v>0</v>
      </c>
      <c r="AW15" s="4">
        <f t="shared" si="2"/>
        <v>5</v>
      </c>
      <c r="AX15" s="4">
        <f t="shared" si="3"/>
        <v>0</v>
      </c>
      <c r="AY15" s="4">
        <f t="shared" si="4"/>
        <v>0</v>
      </c>
      <c r="AZ15" s="4">
        <f t="shared" si="9"/>
        <v>0</v>
      </c>
    </row>
    <row r="16" spans="1:52" x14ac:dyDescent="0.3">
      <c r="A16" s="4" t="s">
        <v>52</v>
      </c>
      <c r="B16" s="4" t="s">
        <v>56</v>
      </c>
      <c r="C16" s="4" t="s">
        <v>54</v>
      </c>
      <c r="D16" s="4" t="s">
        <v>57</v>
      </c>
      <c r="E16" s="4" t="s">
        <v>55</v>
      </c>
      <c r="F16" s="4">
        <v>2</v>
      </c>
      <c r="G16" s="4">
        <v>0.04</v>
      </c>
      <c r="H16" s="4" t="b">
        <v>0</v>
      </c>
      <c r="I16" s="4" t="b">
        <v>0</v>
      </c>
      <c r="J16" s="4" t="b">
        <v>0</v>
      </c>
      <c r="K16" s="4">
        <v>2.9529999999999998</v>
      </c>
      <c r="L16" s="4">
        <v>5.1999999999999998E-2</v>
      </c>
      <c r="M16" s="4">
        <v>-5.8000000000000003E-2</v>
      </c>
      <c r="N16" s="4">
        <v>0</v>
      </c>
      <c r="O16" s="4">
        <v>0</v>
      </c>
      <c r="P16" s="4">
        <v>5.0000000000000001E-3</v>
      </c>
      <c r="Q16" s="5">
        <v>1E-3</v>
      </c>
      <c r="R16" s="5">
        <v>0.18</v>
      </c>
      <c r="S16" s="9">
        <v>227.10400000000001</v>
      </c>
      <c r="T16" s="4">
        <v>1838.375</v>
      </c>
      <c r="U16" s="4">
        <v>1.633</v>
      </c>
      <c r="V16" s="4">
        <v>2.3439999999999999</v>
      </c>
      <c r="W16" s="4">
        <v>1.6819999999999999</v>
      </c>
      <c r="X16" s="4">
        <v>3.8149999999999999</v>
      </c>
      <c r="Y16" s="4">
        <v>9.4779999999999998</v>
      </c>
      <c r="Z16" s="8">
        <v>395</v>
      </c>
      <c r="AA16" s="8">
        <v>5270</v>
      </c>
      <c r="AB16" s="4">
        <v>579</v>
      </c>
      <c r="AC16" s="4">
        <v>0.06</v>
      </c>
      <c r="AD16" s="5">
        <v>1</v>
      </c>
      <c r="AE16" s="16">
        <v>0.08</v>
      </c>
      <c r="AF16" s="4">
        <v>0</v>
      </c>
      <c r="AG16" s="4">
        <v>1</v>
      </c>
      <c r="AH16" s="4">
        <v>3.04</v>
      </c>
      <c r="AI16" s="4">
        <v>2.9169100000000001</v>
      </c>
      <c r="AJ16" s="4">
        <v>-3.4199999999999999E-3</v>
      </c>
      <c r="AK16" s="4">
        <v>1.0109999999999999E-2</v>
      </c>
      <c r="AL16" s="4">
        <v>0</v>
      </c>
      <c r="AM16" s="4">
        <v>0</v>
      </c>
      <c r="AN16" s="4">
        <v>0.38600000000000001</v>
      </c>
      <c r="AO16" s="5">
        <f t="shared" si="5"/>
        <v>7.4952561669829221E-2</v>
      </c>
      <c r="AP16" s="8">
        <f t="shared" si="6"/>
        <v>184</v>
      </c>
      <c r="AQ16" s="6">
        <f t="shared" si="0"/>
        <v>0.98395721925133695</v>
      </c>
      <c r="AR16" s="5">
        <f t="shared" si="7"/>
        <v>0.10986717267552182</v>
      </c>
      <c r="AS16" s="5">
        <f t="shared" si="8"/>
        <v>0.62309515746698274</v>
      </c>
      <c r="AT16" s="5">
        <f t="shared" si="11"/>
        <v>0.10930843151805572</v>
      </c>
      <c r="AU16" s="5">
        <f t="shared" si="10"/>
        <v>0</v>
      </c>
      <c r="AV16" s="4">
        <f t="shared" si="1"/>
        <v>0</v>
      </c>
      <c r="AW16" s="4">
        <f t="shared" si="2"/>
        <v>5</v>
      </c>
      <c r="AX16" s="4">
        <f t="shared" si="3"/>
        <v>0</v>
      </c>
      <c r="AY16" s="4">
        <f t="shared" si="4"/>
        <v>0</v>
      </c>
      <c r="AZ16" s="4">
        <f t="shared" si="9"/>
        <v>0</v>
      </c>
    </row>
    <row r="17" spans="1:52" x14ac:dyDescent="0.3">
      <c r="A17" s="4" t="s">
        <v>52</v>
      </c>
      <c r="B17" s="4" t="s">
        <v>56</v>
      </c>
      <c r="C17" s="4" t="s">
        <v>54</v>
      </c>
      <c r="D17" s="4" t="s">
        <v>56</v>
      </c>
      <c r="E17" s="4" t="s">
        <v>55</v>
      </c>
      <c r="F17" s="4">
        <v>2</v>
      </c>
      <c r="G17" s="4">
        <v>0.04</v>
      </c>
      <c r="H17" s="4" t="b">
        <v>0</v>
      </c>
      <c r="I17" s="4" t="b">
        <v>0</v>
      </c>
      <c r="J17" s="4" t="b">
        <v>0</v>
      </c>
      <c r="K17" s="4">
        <v>2.9529999999999998</v>
      </c>
      <c r="L17" s="4">
        <v>5.1999999999999998E-2</v>
      </c>
      <c r="M17" s="4">
        <v>-5.8000000000000003E-2</v>
      </c>
      <c r="N17" s="4">
        <v>-29995.877</v>
      </c>
      <c r="O17" s="4">
        <v>-0.16300000000000001</v>
      </c>
      <c r="P17" s="4">
        <v>5.0000000000000001E-3</v>
      </c>
      <c r="Q17" s="5">
        <v>1E-3</v>
      </c>
      <c r="R17" s="5">
        <v>0.18</v>
      </c>
      <c r="S17" s="9">
        <v>239.245</v>
      </c>
      <c r="T17" s="4">
        <v>1838.375</v>
      </c>
      <c r="U17" s="4">
        <v>1.966</v>
      </c>
      <c r="V17" s="4">
        <v>2.38</v>
      </c>
      <c r="W17" s="4">
        <v>1.5189999999999999</v>
      </c>
      <c r="X17" s="4">
        <v>3.9060000000000001</v>
      </c>
      <c r="Y17" s="4">
        <v>9.7739999999999991</v>
      </c>
      <c r="Z17" s="8">
        <v>432</v>
      </c>
      <c r="AA17" s="8">
        <v>5270</v>
      </c>
      <c r="AB17" s="4">
        <v>615</v>
      </c>
      <c r="AC17" s="4">
        <v>0.06</v>
      </c>
      <c r="AD17" s="5">
        <v>1</v>
      </c>
      <c r="AE17" s="16">
        <v>0</v>
      </c>
      <c r="AF17" s="4">
        <v>0</v>
      </c>
      <c r="AG17" s="4">
        <v>1</v>
      </c>
      <c r="AH17" s="4">
        <v>3.02</v>
      </c>
      <c r="AI17" s="4">
        <v>3.0130300000000001</v>
      </c>
      <c r="AJ17" s="4">
        <v>7.92E-3</v>
      </c>
      <c r="AK17" s="4">
        <v>7.45E-3</v>
      </c>
      <c r="AL17" s="4">
        <v>0</v>
      </c>
      <c r="AM17" s="4">
        <v>0</v>
      </c>
      <c r="AN17" s="4">
        <v>0.34899999999999998</v>
      </c>
      <c r="AO17" s="5">
        <f t="shared" si="5"/>
        <v>8.1973434535104361E-2</v>
      </c>
      <c r="AP17" s="8">
        <f t="shared" si="6"/>
        <v>183</v>
      </c>
      <c r="AQ17" s="6">
        <f t="shared" si="0"/>
        <v>0.97860962566844922</v>
      </c>
      <c r="AR17" s="5">
        <f t="shared" si="7"/>
        <v>0.11669829222011385</v>
      </c>
      <c r="AS17" s="5">
        <f t="shared" si="8"/>
        <v>0.61970877074161868</v>
      </c>
      <c r="AT17" s="5">
        <f t="shared" si="11"/>
        <v>-6.3715735863953252E-2</v>
      </c>
      <c r="AU17" s="5">
        <f t="shared" si="10"/>
        <v>-8.2365538258792587E-2</v>
      </c>
      <c r="AV17" s="4">
        <f t="shared" si="1"/>
        <v>0</v>
      </c>
      <c r="AW17" s="4">
        <f t="shared" si="2"/>
        <v>5</v>
      </c>
      <c r="AX17" s="4">
        <f t="shared" si="3"/>
        <v>0</v>
      </c>
      <c r="AY17" s="4">
        <f t="shared" si="4"/>
        <v>0</v>
      </c>
      <c r="AZ17" s="4">
        <f t="shared" si="9"/>
        <v>0</v>
      </c>
    </row>
    <row r="18" spans="1:52" x14ac:dyDescent="0.3">
      <c r="A18" s="4" t="s">
        <v>52</v>
      </c>
      <c r="B18" s="4" t="s">
        <v>56</v>
      </c>
      <c r="C18" s="4" t="s">
        <v>54</v>
      </c>
      <c r="D18" s="4" t="s">
        <v>57</v>
      </c>
      <c r="E18" s="4" t="s">
        <v>55</v>
      </c>
      <c r="F18" s="4">
        <v>2</v>
      </c>
      <c r="G18" s="4">
        <v>0.04</v>
      </c>
      <c r="H18" s="4" t="b">
        <v>0</v>
      </c>
      <c r="I18" s="4" t="b">
        <v>0</v>
      </c>
      <c r="J18" s="4" t="b">
        <v>0</v>
      </c>
      <c r="K18" s="4">
        <v>2.9529999999999998</v>
      </c>
      <c r="L18" s="4">
        <v>5.1999999999999998E-2</v>
      </c>
      <c r="M18" s="4">
        <v>-5.8000000000000003E-2</v>
      </c>
      <c r="N18" s="4">
        <v>0</v>
      </c>
      <c r="O18" s="4">
        <v>0</v>
      </c>
      <c r="P18" s="4">
        <v>5.0000000000000001E-3</v>
      </c>
      <c r="Q18" s="5">
        <v>1E-3</v>
      </c>
      <c r="R18" s="5">
        <v>0.18</v>
      </c>
      <c r="S18" s="9">
        <v>251.73699999999999</v>
      </c>
      <c r="T18" s="4">
        <v>1838.375</v>
      </c>
      <c r="U18" s="4">
        <v>1.77</v>
      </c>
      <c r="V18" s="4">
        <v>2.3540000000000001</v>
      </c>
      <c r="W18" s="4">
        <v>1.833</v>
      </c>
      <c r="X18" s="4">
        <v>3.867</v>
      </c>
      <c r="Y18" s="4">
        <v>9.827</v>
      </c>
      <c r="Z18" s="8">
        <v>470</v>
      </c>
      <c r="AA18" s="8">
        <v>5270</v>
      </c>
      <c r="AB18" s="4">
        <v>652</v>
      </c>
      <c r="AC18" s="4">
        <v>0.06</v>
      </c>
      <c r="AD18" s="5">
        <v>1</v>
      </c>
      <c r="AE18" s="16">
        <v>0.08</v>
      </c>
      <c r="AF18" s="4">
        <v>0</v>
      </c>
      <c r="AG18" s="4">
        <v>1</v>
      </c>
      <c r="AH18" s="4">
        <v>3.04</v>
      </c>
      <c r="AI18" s="4">
        <v>3.0303499999999999</v>
      </c>
      <c r="AJ18" s="4">
        <v>1.39E-3</v>
      </c>
      <c r="AK18" s="4">
        <v>4.1399999999999996E-3</v>
      </c>
      <c r="AL18" s="4">
        <v>0</v>
      </c>
      <c r="AM18" s="4">
        <v>0</v>
      </c>
      <c r="AN18" s="4">
        <v>0.33500000000000002</v>
      </c>
      <c r="AO18" s="5">
        <f t="shared" si="5"/>
        <v>8.9184060721062622E-2</v>
      </c>
      <c r="AP18" s="8">
        <f t="shared" si="6"/>
        <v>182</v>
      </c>
      <c r="AQ18" s="6">
        <f t="shared" si="0"/>
        <v>0.9732620320855615</v>
      </c>
      <c r="AR18" s="5">
        <f t="shared" si="7"/>
        <v>0.12371916508538899</v>
      </c>
      <c r="AS18" s="5">
        <f t="shared" si="8"/>
        <v>0.61632238401625461</v>
      </c>
      <c r="AT18" s="5">
        <f t="shared" si="11"/>
        <v>-7.9725982421750247E-2</v>
      </c>
      <c r="AU18" s="5">
        <f t="shared" si="10"/>
        <v>-8.0051232788985016E-2</v>
      </c>
      <c r="AV18" s="4">
        <f t="shared" si="1"/>
        <v>0</v>
      </c>
      <c r="AW18" s="4">
        <f t="shared" si="2"/>
        <v>5</v>
      </c>
      <c r="AX18" s="4">
        <f t="shared" si="3"/>
        <v>0</v>
      </c>
      <c r="AY18" s="4">
        <f t="shared" si="4"/>
        <v>0</v>
      </c>
      <c r="AZ18" s="4">
        <f t="shared" si="9"/>
        <v>0</v>
      </c>
    </row>
    <row r="19" spans="1:52" x14ac:dyDescent="0.3">
      <c r="A19" s="4" t="s">
        <v>52</v>
      </c>
      <c r="B19" s="4" t="s">
        <v>56</v>
      </c>
      <c r="C19" s="4" t="s">
        <v>54</v>
      </c>
      <c r="D19" s="4" t="s">
        <v>56</v>
      </c>
      <c r="E19" s="4" t="s">
        <v>55</v>
      </c>
      <c r="F19" s="4">
        <v>2</v>
      </c>
      <c r="G19" s="4">
        <v>0.04</v>
      </c>
      <c r="H19" s="4" t="b">
        <v>0</v>
      </c>
      <c r="I19" s="4" t="b">
        <v>0</v>
      </c>
      <c r="J19" s="4" t="b">
        <v>0</v>
      </c>
      <c r="K19" s="4">
        <v>2.9529999999999998</v>
      </c>
      <c r="L19" s="4">
        <v>5.1999999999999998E-2</v>
      </c>
      <c r="M19" s="4">
        <v>-5.8000000000000003E-2</v>
      </c>
      <c r="N19" s="4">
        <v>-60208.406000000003</v>
      </c>
      <c r="O19" s="4">
        <v>-0.08</v>
      </c>
      <c r="P19" s="4">
        <v>5.0000000000000001E-3</v>
      </c>
      <c r="Q19" s="5">
        <v>1E-3</v>
      </c>
      <c r="R19" s="5">
        <v>0.18</v>
      </c>
      <c r="S19" s="9">
        <v>264.67599999999999</v>
      </c>
      <c r="T19" s="4">
        <v>1838.375</v>
      </c>
      <c r="U19" s="4">
        <v>1.702</v>
      </c>
      <c r="V19" s="4">
        <v>2.552</v>
      </c>
      <c r="W19" s="4">
        <v>1.8169999999999999</v>
      </c>
      <c r="X19" s="4">
        <v>4.0679999999999996</v>
      </c>
      <c r="Y19" s="4">
        <v>10.141999999999999</v>
      </c>
      <c r="Z19" s="8">
        <v>510</v>
      </c>
      <c r="AA19" s="8">
        <v>5270</v>
      </c>
      <c r="AB19" s="4">
        <v>689</v>
      </c>
      <c r="AC19" s="4">
        <v>0.06</v>
      </c>
      <c r="AD19" s="5">
        <v>1</v>
      </c>
      <c r="AE19" s="16">
        <v>0</v>
      </c>
      <c r="AF19" s="4">
        <v>0</v>
      </c>
      <c r="AG19" s="4">
        <v>1</v>
      </c>
      <c r="AH19" s="4">
        <v>3.04</v>
      </c>
      <c r="AI19" s="4">
        <v>3.03274</v>
      </c>
      <c r="AJ19" s="4">
        <v>1.8000000000000001E-4</v>
      </c>
      <c r="AK19" s="4">
        <v>1.9400000000000001E-3</v>
      </c>
      <c r="AL19" s="4">
        <v>0</v>
      </c>
      <c r="AM19" s="4">
        <v>0</v>
      </c>
      <c r="AN19" s="4">
        <v>0.32800000000000001</v>
      </c>
      <c r="AO19" s="5">
        <f t="shared" si="5"/>
        <v>9.6774193548387094E-2</v>
      </c>
      <c r="AP19" s="8">
        <f t="shared" si="6"/>
        <v>179</v>
      </c>
      <c r="AQ19" s="6">
        <f t="shared" si="0"/>
        <v>0.95721925133689845</v>
      </c>
      <c r="AR19" s="5">
        <f t="shared" si="7"/>
        <v>0.13074003795066413</v>
      </c>
      <c r="AS19" s="5">
        <f t="shared" si="8"/>
        <v>0.60616322384016252</v>
      </c>
      <c r="AT19" s="5">
        <f t="shared" si="11"/>
        <v>-9.4499345100093141E-2</v>
      </c>
      <c r="AU19" s="5">
        <f t="shared" si="10"/>
        <v>-0.23185717597959671</v>
      </c>
      <c r="AV19" s="4">
        <f t="shared" si="1"/>
        <v>0</v>
      </c>
      <c r="AW19" s="4">
        <f t="shared" si="2"/>
        <v>5</v>
      </c>
      <c r="AX19" s="4">
        <f t="shared" si="3"/>
        <v>0</v>
      </c>
      <c r="AY19" s="4">
        <f t="shared" si="4"/>
        <v>0</v>
      </c>
      <c r="AZ19" s="4">
        <f t="shared" si="9"/>
        <v>0</v>
      </c>
    </row>
    <row r="20" spans="1:52" x14ac:dyDescent="0.3">
      <c r="A20" s="4" t="s">
        <v>52</v>
      </c>
      <c r="B20" s="4" t="s">
        <v>56</v>
      </c>
      <c r="C20" s="4" t="s">
        <v>54</v>
      </c>
      <c r="D20" s="4" t="s">
        <v>56</v>
      </c>
      <c r="E20" s="4" t="s">
        <v>55</v>
      </c>
      <c r="F20" s="4">
        <v>2</v>
      </c>
      <c r="G20" s="4">
        <v>0.04</v>
      </c>
      <c r="H20" s="4" t="b">
        <v>0</v>
      </c>
      <c r="I20" s="4" t="b">
        <v>0</v>
      </c>
      <c r="J20" s="4" t="b">
        <v>0</v>
      </c>
      <c r="K20" s="4">
        <v>2.9529999999999998</v>
      </c>
      <c r="L20" s="4">
        <v>5.1999999999999998E-2</v>
      </c>
      <c r="M20" s="4">
        <v>-5.8000000000000003E-2</v>
      </c>
      <c r="N20" s="4">
        <v>-63117.805</v>
      </c>
      <c r="O20" s="4">
        <v>-7.4999999999999997E-2</v>
      </c>
      <c r="P20" s="4">
        <v>5.0000000000000001E-3</v>
      </c>
      <c r="Q20" s="5">
        <v>1E-3</v>
      </c>
      <c r="R20" s="5">
        <v>0.18</v>
      </c>
      <c r="S20" s="9">
        <v>277.81799999999998</v>
      </c>
      <c r="T20" s="4">
        <v>1838.375</v>
      </c>
      <c r="U20" s="4">
        <v>2.16</v>
      </c>
      <c r="V20" s="4">
        <v>2.3929999999999998</v>
      </c>
      <c r="W20" s="4">
        <v>1.696</v>
      </c>
      <c r="X20" s="4">
        <v>4.2930000000000001</v>
      </c>
      <c r="Y20" s="4">
        <v>10.545</v>
      </c>
      <c r="Z20" s="8">
        <v>550</v>
      </c>
      <c r="AA20" s="8">
        <v>5270</v>
      </c>
      <c r="AB20" s="4">
        <v>728</v>
      </c>
      <c r="AC20" s="4">
        <v>0.06</v>
      </c>
      <c r="AD20" s="5">
        <v>1</v>
      </c>
      <c r="AE20" s="16">
        <v>0</v>
      </c>
      <c r="AF20" s="4">
        <v>0</v>
      </c>
      <c r="AG20" s="4">
        <v>1</v>
      </c>
      <c r="AH20" s="4">
        <v>3.04</v>
      </c>
      <c r="AI20" s="4">
        <v>3.0472000000000001</v>
      </c>
      <c r="AJ20" s="4">
        <v>1.1000000000000001E-3</v>
      </c>
      <c r="AK20" s="4">
        <v>1.3699999999999999E-3</v>
      </c>
      <c r="AL20" s="4">
        <v>0</v>
      </c>
      <c r="AM20" s="4">
        <v>0</v>
      </c>
      <c r="AN20" s="4">
        <v>0.317</v>
      </c>
      <c r="AO20" s="5">
        <f t="shared" si="5"/>
        <v>0.10436432637571158</v>
      </c>
      <c r="AP20" s="8">
        <f t="shared" si="6"/>
        <v>178</v>
      </c>
      <c r="AQ20" s="6">
        <f t="shared" si="0"/>
        <v>0.95187165775401072</v>
      </c>
      <c r="AR20" s="5">
        <f t="shared" si="7"/>
        <v>0.13814041745730551</v>
      </c>
      <c r="AS20" s="5">
        <f t="shared" si="8"/>
        <v>0.60277683711479846</v>
      </c>
      <c r="AT20" s="5">
        <f t="shared" si="11"/>
        <v>-9.4073173213114494E-2</v>
      </c>
      <c r="AU20" s="5">
        <f t="shared" si="10"/>
        <v>-7.6091919038198161E-2</v>
      </c>
      <c r="AV20" s="4">
        <f t="shared" si="1"/>
        <v>0</v>
      </c>
      <c r="AW20" s="4">
        <f t="shared" si="2"/>
        <v>5</v>
      </c>
      <c r="AX20" s="4">
        <f t="shared" si="3"/>
        <v>0</v>
      </c>
      <c r="AY20" s="4">
        <f t="shared" si="4"/>
        <v>0</v>
      </c>
      <c r="AZ20" s="4">
        <f t="shared" si="9"/>
        <v>0</v>
      </c>
    </row>
    <row r="21" spans="1:52" x14ac:dyDescent="0.3">
      <c r="A21" s="4" t="s">
        <v>52</v>
      </c>
      <c r="B21" s="4" t="s">
        <v>56</v>
      </c>
      <c r="C21" s="4" t="s">
        <v>54</v>
      </c>
      <c r="D21" s="4" t="s">
        <v>57</v>
      </c>
      <c r="E21" s="4" t="s">
        <v>55</v>
      </c>
      <c r="F21" s="4">
        <v>2</v>
      </c>
      <c r="G21" s="4">
        <v>0.04</v>
      </c>
      <c r="H21" s="4" t="b">
        <v>0</v>
      </c>
      <c r="I21" s="4" t="b">
        <v>0</v>
      </c>
      <c r="J21" s="4" t="b">
        <v>0</v>
      </c>
      <c r="K21" s="4">
        <v>2.9529999999999998</v>
      </c>
      <c r="L21" s="4">
        <v>5.1999999999999998E-2</v>
      </c>
      <c r="M21" s="4">
        <v>-5.8000000000000003E-2</v>
      </c>
      <c r="N21" s="4">
        <v>0</v>
      </c>
      <c r="O21" s="4">
        <v>0</v>
      </c>
      <c r="P21" s="4">
        <v>5.0000000000000001E-3</v>
      </c>
      <c r="Q21" s="5">
        <v>1E-3</v>
      </c>
      <c r="R21" s="5">
        <v>0.18</v>
      </c>
      <c r="S21" s="9">
        <v>291.26799999999997</v>
      </c>
      <c r="T21" s="4">
        <v>1838.375</v>
      </c>
      <c r="U21" s="4">
        <v>1.7130000000000001</v>
      </c>
      <c r="V21" s="4">
        <v>2.395</v>
      </c>
      <c r="W21" s="4">
        <v>1.627</v>
      </c>
      <c r="X21" s="4">
        <v>3.968</v>
      </c>
      <c r="Y21" s="4">
        <v>9.7059999999999995</v>
      </c>
      <c r="Z21" s="8">
        <v>591</v>
      </c>
      <c r="AA21" s="8">
        <v>5270</v>
      </c>
      <c r="AB21" s="4">
        <v>768</v>
      </c>
      <c r="AC21" s="4">
        <v>0.06</v>
      </c>
      <c r="AD21" s="5">
        <v>1</v>
      </c>
      <c r="AE21" s="16">
        <v>0.08</v>
      </c>
      <c r="AF21" s="4">
        <v>0</v>
      </c>
      <c r="AG21" s="4">
        <v>1</v>
      </c>
      <c r="AH21" s="4">
        <v>3.02</v>
      </c>
      <c r="AI21" s="4">
        <v>3.0546799999999998</v>
      </c>
      <c r="AJ21" s="4">
        <v>5.5999999999999995E-4</v>
      </c>
      <c r="AK21" s="4">
        <v>2.15E-3</v>
      </c>
      <c r="AL21" s="4">
        <v>0</v>
      </c>
      <c r="AM21" s="4">
        <v>0</v>
      </c>
      <c r="AN21" s="4">
        <v>0.313</v>
      </c>
      <c r="AO21" s="5">
        <f t="shared" si="5"/>
        <v>0.11214421252371916</v>
      </c>
      <c r="AP21" s="8">
        <f t="shared" si="6"/>
        <v>177</v>
      </c>
      <c r="AQ21" s="6">
        <f t="shared" si="0"/>
        <v>0.946524064171123</v>
      </c>
      <c r="AR21" s="5">
        <f t="shared" si="7"/>
        <v>0.14573055028462997</v>
      </c>
      <c r="AS21" s="5">
        <f t="shared" si="8"/>
        <v>0.5993904503894345</v>
      </c>
      <c r="AT21" s="5">
        <f t="shared" si="11"/>
        <v>-0.10894306168895093</v>
      </c>
      <c r="AU21" s="5">
        <f t="shared" si="10"/>
        <v>-7.4349442379182215E-2</v>
      </c>
      <c r="AV21" s="4">
        <f t="shared" si="1"/>
        <v>0</v>
      </c>
      <c r="AW21" s="4">
        <f t="shared" si="2"/>
        <v>5</v>
      </c>
      <c r="AX21" s="4">
        <f t="shared" si="3"/>
        <v>0</v>
      </c>
      <c r="AY21" s="4">
        <f t="shared" si="4"/>
        <v>0</v>
      </c>
      <c r="AZ21" s="4">
        <f t="shared" si="9"/>
        <v>0</v>
      </c>
    </row>
    <row r="22" spans="1:52" x14ac:dyDescent="0.3">
      <c r="A22" s="4" t="s">
        <v>52</v>
      </c>
      <c r="B22" s="4" t="s">
        <v>56</v>
      </c>
      <c r="C22" s="4" t="s">
        <v>54</v>
      </c>
      <c r="D22" s="4" t="s">
        <v>56</v>
      </c>
      <c r="E22" s="4" t="s">
        <v>55</v>
      </c>
      <c r="F22" s="4">
        <v>2</v>
      </c>
      <c r="G22" s="4">
        <v>0.04</v>
      </c>
      <c r="H22" s="4" t="b">
        <v>0</v>
      </c>
      <c r="I22" s="4" t="b">
        <v>0</v>
      </c>
      <c r="J22" s="4" t="b">
        <v>0</v>
      </c>
      <c r="K22" s="4">
        <v>2.9529999999999998</v>
      </c>
      <c r="L22" s="4">
        <v>5.1999999999999998E-2</v>
      </c>
      <c r="M22" s="4">
        <v>-5.8000000000000003E-2</v>
      </c>
      <c r="N22" s="4">
        <v>-14751.816999999999</v>
      </c>
      <c r="O22" s="4">
        <v>-0.317</v>
      </c>
      <c r="P22" s="4">
        <v>5.0000000000000001E-3</v>
      </c>
      <c r="Q22" s="5">
        <v>1E-3</v>
      </c>
      <c r="R22" s="5">
        <v>0.18</v>
      </c>
      <c r="S22" s="9">
        <v>303.74900000000002</v>
      </c>
      <c r="T22" s="4">
        <v>1838.375</v>
      </c>
      <c r="U22" s="4">
        <v>1.619</v>
      </c>
      <c r="V22" s="4">
        <v>2.319</v>
      </c>
      <c r="W22" s="4">
        <v>1.5289999999999999</v>
      </c>
      <c r="X22" s="4">
        <v>4.0279999999999996</v>
      </c>
      <c r="Y22" s="4">
        <v>9.4969999999999999</v>
      </c>
      <c r="Z22" s="8">
        <v>629</v>
      </c>
      <c r="AA22" s="8">
        <v>5270</v>
      </c>
      <c r="AB22" s="4">
        <v>805</v>
      </c>
      <c r="AC22" s="4">
        <v>0.06</v>
      </c>
      <c r="AD22" s="5">
        <v>1</v>
      </c>
      <c r="AE22" s="16">
        <v>0</v>
      </c>
      <c r="AF22" s="4">
        <v>0</v>
      </c>
      <c r="AG22" s="4">
        <v>1</v>
      </c>
      <c r="AH22" s="4">
        <v>3.04</v>
      </c>
      <c r="AI22" s="4">
        <v>3.0541100000000001</v>
      </c>
      <c r="AJ22" s="4">
        <v>-5.0000000000000002E-5</v>
      </c>
      <c r="AK22" s="4">
        <v>6.4000000000000005E-4</v>
      </c>
      <c r="AL22" s="4">
        <v>0</v>
      </c>
      <c r="AM22" s="4">
        <v>0</v>
      </c>
      <c r="AN22" s="4">
        <v>0.309</v>
      </c>
      <c r="AO22" s="5">
        <f t="shared" si="5"/>
        <v>0.11935483870967742</v>
      </c>
      <c r="AP22" s="8">
        <f t="shared" si="6"/>
        <v>176</v>
      </c>
      <c r="AQ22" s="6">
        <f t="shared" si="0"/>
        <v>0.94117647058823528</v>
      </c>
      <c r="AR22" s="5">
        <f t="shared" si="7"/>
        <v>0.15275142314990511</v>
      </c>
      <c r="AS22" s="5">
        <f t="shared" si="8"/>
        <v>0.59600406366407044</v>
      </c>
      <c r="AT22" s="5">
        <f t="shared" si="11"/>
        <v>-0.10849431105986682</v>
      </c>
      <c r="AU22" s="5">
        <f t="shared" si="10"/>
        <v>-8.0121785113371993E-2</v>
      </c>
      <c r="AV22" s="4">
        <f t="shared" si="1"/>
        <v>0</v>
      </c>
      <c r="AW22" s="4">
        <f t="shared" si="2"/>
        <v>5</v>
      </c>
      <c r="AX22" s="4">
        <f t="shared" si="3"/>
        <v>0</v>
      </c>
      <c r="AY22" s="4">
        <f t="shared" si="4"/>
        <v>0</v>
      </c>
      <c r="AZ22" s="4">
        <f t="shared" si="9"/>
        <v>0</v>
      </c>
    </row>
    <row r="23" spans="1:52" x14ac:dyDescent="0.3">
      <c r="A23" s="4" t="s">
        <v>52</v>
      </c>
      <c r="B23" s="4" t="s">
        <v>56</v>
      </c>
      <c r="C23" s="4" t="s">
        <v>54</v>
      </c>
      <c r="D23" s="4" t="s">
        <v>56</v>
      </c>
      <c r="E23" s="4" t="s">
        <v>55</v>
      </c>
      <c r="F23" s="4">
        <v>2</v>
      </c>
      <c r="G23" s="4">
        <v>0.04</v>
      </c>
      <c r="H23" s="4" t="b">
        <v>0</v>
      </c>
      <c r="I23" s="4" t="b">
        <v>0</v>
      </c>
      <c r="J23" s="4" t="b">
        <v>0</v>
      </c>
      <c r="K23" s="4">
        <v>2.9529999999999998</v>
      </c>
      <c r="L23" s="4">
        <v>5.1999999999999998E-2</v>
      </c>
      <c r="M23" s="4">
        <v>-5.8000000000000003E-2</v>
      </c>
      <c r="N23" s="4">
        <v>-56933.472000000002</v>
      </c>
      <c r="O23" s="4">
        <v>-8.2000000000000003E-2</v>
      </c>
      <c r="P23" s="4">
        <v>5.0000000000000001E-3</v>
      </c>
      <c r="Q23" s="5">
        <v>1E-3</v>
      </c>
      <c r="R23" s="5">
        <v>0.18</v>
      </c>
      <c r="S23" s="9">
        <v>315.96899999999999</v>
      </c>
      <c r="T23" s="4">
        <v>1838.375</v>
      </c>
      <c r="U23" s="4">
        <v>1.657</v>
      </c>
      <c r="V23" s="4">
        <v>2.339</v>
      </c>
      <c r="W23" s="4">
        <v>1.5209999999999999</v>
      </c>
      <c r="X23" s="4">
        <v>3.8370000000000002</v>
      </c>
      <c r="Y23" s="4">
        <v>9.3569999999999993</v>
      </c>
      <c r="Z23" s="8">
        <v>666</v>
      </c>
      <c r="AA23" s="8">
        <v>5270</v>
      </c>
      <c r="AB23" s="4">
        <v>842</v>
      </c>
      <c r="AC23" s="4">
        <v>0.06</v>
      </c>
      <c r="AD23" s="5">
        <v>1</v>
      </c>
      <c r="AE23" s="16">
        <v>0</v>
      </c>
      <c r="AF23" s="4">
        <v>0</v>
      </c>
      <c r="AG23" s="4">
        <v>1</v>
      </c>
      <c r="AH23" s="4">
        <v>3.06</v>
      </c>
      <c r="AI23" s="4">
        <v>3.0514199999999998</v>
      </c>
      <c r="AJ23" s="4">
        <v>-2.2000000000000001E-4</v>
      </c>
      <c r="AK23" s="4">
        <v>3.3E-4</v>
      </c>
      <c r="AL23" s="4">
        <v>0</v>
      </c>
      <c r="AM23" s="4">
        <v>0</v>
      </c>
      <c r="AN23" s="4">
        <v>0.309</v>
      </c>
      <c r="AO23" s="5">
        <f t="shared" si="5"/>
        <v>0.12637571157495256</v>
      </c>
      <c r="AP23" s="8">
        <f t="shared" si="6"/>
        <v>176</v>
      </c>
      <c r="AQ23" s="6">
        <f t="shared" si="0"/>
        <v>0.94117647058823528</v>
      </c>
      <c r="AR23" s="5">
        <f t="shared" si="7"/>
        <v>0.15977229601518025</v>
      </c>
      <c r="AS23" s="5">
        <f t="shared" si="8"/>
        <v>0.59600406366407044</v>
      </c>
      <c r="AT23" s="5">
        <f t="shared" si="11"/>
        <v>-9.2484064502069821E-2</v>
      </c>
      <c r="AU23" s="5">
        <f t="shared" si="10"/>
        <v>0</v>
      </c>
      <c r="AV23" s="4">
        <f t="shared" si="1"/>
        <v>0</v>
      </c>
      <c r="AW23" s="4">
        <f t="shared" si="2"/>
        <v>5</v>
      </c>
      <c r="AX23" s="4">
        <f t="shared" si="3"/>
        <v>0</v>
      </c>
      <c r="AY23" s="4">
        <f t="shared" si="4"/>
        <v>0</v>
      </c>
      <c r="AZ23" s="4">
        <f t="shared" si="9"/>
        <v>0</v>
      </c>
    </row>
    <row r="24" spans="1:52" x14ac:dyDescent="0.3">
      <c r="A24" s="4" t="s">
        <v>58</v>
      </c>
      <c r="B24" s="4" t="s">
        <v>56</v>
      </c>
      <c r="C24" s="4" t="s">
        <v>54</v>
      </c>
      <c r="D24" s="4" t="s">
        <v>56</v>
      </c>
      <c r="E24" s="4" t="s">
        <v>55</v>
      </c>
      <c r="F24" s="4">
        <v>2</v>
      </c>
      <c r="G24" s="4">
        <v>0.04</v>
      </c>
      <c r="H24" s="4" t="b">
        <v>0</v>
      </c>
      <c r="I24" s="4" t="b">
        <v>0</v>
      </c>
      <c r="J24" s="4" t="b">
        <v>0</v>
      </c>
      <c r="K24" s="4">
        <v>2.9529999999999998</v>
      </c>
      <c r="L24" s="4">
        <v>5.1999999999999998E-2</v>
      </c>
      <c r="M24" s="4">
        <v>-5.8000000000000003E-2</v>
      </c>
      <c r="N24" s="4">
        <v>-27803.366999999998</v>
      </c>
      <c r="O24" s="4">
        <v>-0.16600000000000001</v>
      </c>
      <c r="P24" s="4">
        <v>5.0000000000000001E-3</v>
      </c>
      <c r="Q24" s="5">
        <v>1E-3</v>
      </c>
      <c r="R24" s="5">
        <v>0.18</v>
      </c>
      <c r="S24" s="9">
        <v>327.89100000000002</v>
      </c>
      <c r="T24" s="4">
        <v>1838.375</v>
      </c>
      <c r="U24" s="4">
        <v>1.9350000000000001</v>
      </c>
      <c r="V24" s="4">
        <v>2.375</v>
      </c>
      <c r="W24" s="4">
        <v>1.484</v>
      </c>
      <c r="X24" s="4">
        <v>3.6389999999999998</v>
      </c>
      <c r="Y24" s="4">
        <v>9.4359999999999999</v>
      </c>
      <c r="Z24" s="8">
        <v>703</v>
      </c>
      <c r="AA24" s="8">
        <v>5270</v>
      </c>
      <c r="AB24" s="4">
        <v>877</v>
      </c>
      <c r="AC24" s="4">
        <v>0.06</v>
      </c>
      <c r="AD24" s="5">
        <v>1</v>
      </c>
      <c r="AE24" s="16">
        <v>0</v>
      </c>
      <c r="AF24" s="4">
        <v>0</v>
      </c>
      <c r="AG24" s="4">
        <v>1</v>
      </c>
      <c r="AH24" s="4">
        <v>3.06</v>
      </c>
      <c r="AI24" s="4">
        <v>3.0530599999999999</v>
      </c>
      <c r="AJ24" s="4">
        <v>1.3999999999999999E-4</v>
      </c>
      <c r="AK24" s="4">
        <v>3.2000000000000003E-4</v>
      </c>
      <c r="AL24" s="4">
        <v>0</v>
      </c>
      <c r="AM24" s="4">
        <v>0</v>
      </c>
      <c r="AN24" s="4">
        <v>0.30599999999999999</v>
      </c>
      <c r="AO24" s="5">
        <f t="shared" si="5"/>
        <v>0.1333965844402277</v>
      </c>
      <c r="AP24" s="8">
        <f t="shared" si="6"/>
        <v>174</v>
      </c>
      <c r="AQ24" s="6">
        <f t="shared" si="0"/>
        <v>0.93048128342245995</v>
      </c>
      <c r="AR24" s="5">
        <f t="shared" si="7"/>
        <v>0.16641366223908918</v>
      </c>
      <c r="AS24" s="5">
        <f t="shared" si="8"/>
        <v>0.58923129021334231</v>
      </c>
      <c r="AT24" s="5">
        <f t="shared" si="11"/>
        <v>-7.9664046853541781E-2</v>
      </c>
      <c r="AU24" s="5">
        <f t="shared" si="10"/>
        <v>-0.16775708773695652</v>
      </c>
      <c r="AV24" s="4">
        <f t="shared" si="1"/>
        <v>0</v>
      </c>
      <c r="AW24" s="4">
        <f t="shared" si="2"/>
        <v>5</v>
      </c>
      <c r="AX24" s="4">
        <f t="shared" si="3"/>
        <v>0</v>
      </c>
      <c r="AY24" s="4">
        <f t="shared" si="4"/>
        <v>0</v>
      </c>
      <c r="AZ24" s="4">
        <f t="shared" si="9"/>
        <v>0</v>
      </c>
    </row>
    <row r="25" spans="1:52" x14ac:dyDescent="0.3">
      <c r="A25" s="4" t="s">
        <v>52</v>
      </c>
      <c r="B25" s="4" t="s">
        <v>56</v>
      </c>
      <c r="C25" s="4" t="s">
        <v>54</v>
      </c>
      <c r="D25" s="4" t="s">
        <v>56</v>
      </c>
      <c r="E25" s="4" t="s">
        <v>55</v>
      </c>
      <c r="F25" s="4">
        <v>2</v>
      </c>
      <c r="G25" s="4">
        <v>0.04</v>
      </c>
      <c r="H25" s="4" t="b">
        <v>0</v>
      </c>
      <c r="I25" s="4" t="b">
        <v>0</v>
      </c>
      <c r="J25" s="4" t="b">
        <v>0</v>
      </c>
      <c r="K25" s="4">
        <v>2.9529999999999998</v>
      </c>
      <c r="L25" s="4">
        <v>5.1999999999999998E-2</v>
      </c>
      <c r="M25" s="4">
        <v>-5.8000000000000003E-2</v>
      </c>
      <c r="N25" s="4">
        <v>-54818.847000000002</v>
      </c>
      <c r="O25" s="4">
        <v>-8.3000000000000004E-2</v>
      </c>
      <c r="P25" s="4">
        <v>5.0000000000000001E-3</v>
      </c>
      <c r="Q25" s="5">
        <v>1E-3</v>
      </c>
      <c r="R25" s="5">
        <v>0.18</v>
      </c>
      <c r="S25" s="9">
        <v>339.85300000000001</v>
      </c>
      <c r="T25" s="4">
        <v>1838.375</v>
      </c>
      <c r="U25" s="4">
        <v>1.6080000000000001</v>
      </c>
      <c r="V25" s="4">
        <v>2.395</v>
      </c>
      <c r="W25" s="4">
        <v>1.724</v>
      </c>
      <c r="X25" s="4">
        <v>4.32</v>
      </c>
      <c r="Y25" s="4">
        <v>10.048999999999999</v>
      </c>
      <c r="Z25" s="8">
        <v>740</v>
      </c>
      <c r="AA25" s="8">
        <v>5270</v>
      </c>
      <c r="AB25" s="4">
        <v>913</v>
      </c>
      <c r="AC25" s="4">
        <v>0.06</v>
      </c>
      <c r="AD25" s="5">
        <v>1</v>
      </c>
      <c r="AE25" s="16">
        <v>0</v>
      </c>
      <c r="AF25" s="4">
        <v>0</v>
      </c>
      <c r="AG25" s="4">
        <v>1</v>
      </c>
      <c r="AH25" s="4">
        <v>3.1</v>
      </c>
      <c r="AI25" s="4">
        <v>3.0628099999999998</v>
      </c>
      <c r="AJ25" s="4">
        <v>8.0999999999999996E-4</v>
      </c>
      <c r="AK25" s="4">
        <v>2.5000000000000001E-4</v>
      </c>
      <c r="AL25" s="4">
        <v>0</v>
      </c>
      <c r="AM25" s="4">
        <v>0</v>
      </c>
      <c r="AN25" s="4">
        <v>0.30199999999999999</v>
      </c>
      <c r="AO25" s="5">
        <f t="shared" si="5"/>
        <v>0.14041745730550284</v>
      </c>
      <c r="AP25" s="8">
        <f t="shared" si="6"/>
        <v>173</v>
      </c>
      <c r="AQ25" s="6">
        <f t="shared" si="0"/>
        <v>0.92513368983957223</v>
      </c>
      <c r="AR25" s="5">
        <f t="shared" si="7"/>
        <v>0.17324478178368122</v>
      </c>
      <c r="AS25" s="5">
        <f t="shared" si="8"/>
        <v>0.58584490348797835</v>
      </c>
      <c r="AT25" s="5">
        <f t="shared" si="11"/>
        <v>-8.1165275150901328E-2</v>
      </c>
      <c r="AU25" s="5">
        <f t="shared" si="10"/>
        <v>-8.3598060524995896E-2</v>
      </c>
      <c r="AV25" s="4">
        <f t="shared" si="1"/>
        <v>0</v>
      </c>
      <c r="AW25" s="4">
        <f t="shared" si="2"/>
        <v>5</v>
      </c>
      <c r="AX25" s="4">
        <f t="shared" si="3"/>
        <v>0</v>
      </c>
      <c r="AY25" s="4">
        <f t="shared" si="4"/>
        <v>0</v>
      </c>
      <c r="AZ25" s="4">
        <f t="shared" si="9"/>
        <v>0</v>
      </c>
    </row>
    <row r="26" spans="1:52" x14ac:dyDescent="0.3">
      <c r="A26" s="4" t="s">
        <v>52</v>
      </c>
      <c r="B26" s="4" t="s">
        <v>56</v>
      </c>
      <c r="C26" s="4" t="s">
        <v>54</v>
      </c>
      <c r="D26" s="4" t="s">
        <v>57</v>
      </c>
      <c r="E26" s="4" t="s">
        <v>55</v>
      </c>
      <c r="F26" s="4">
        <v>2</v>
      </c>
      <c r="G26" s="4">
        <v>0.04</v>
      </c>
      <c r="H26" s="4" t="b">
        <v>0</v>
      </c>
      <c r="I26" s="4" t="b">
        <v>0</v>
      </c>
      <c r="J26" s="4" t="b">
        <v>0</v>
      </c>
      <c r="K26" s="4">
        <v>2.9529999999999998</v>
      </c>
      <c r="L26" s="4">
        <v>5.1999999999999998E-2</v>
      </c>
      <c r="M26" s="4">
        <v>-5.8000000000000003E-2</v>
      </c>
      <c r="N26" s="4">
        <v>0</v>
      </c>
      <c r="O26" s="4">
        <v>0</v>
      </c>
      <c r="P26" s="4">
        <v>5.0000000000000001E-3</v>
      </c>
      <c r="Q26" s="5">
        <v>1E-3</v>
      </c>
      <c r="R26" s="5">
        <v>0.18</v>
      </c>
      <c r="S26" s="9">
        <v>352.69099999999997</v>
      </c>
      <c r="T26" s="4">
        <v>1838.375</v>
      </c>
      <c r="U26" s="4">
        <v>1.597</v>
      </c>
      <c r="V26" s="4">
        <v>2.3319999999999999</v>
      </c>
      <c r="W26" s="4">
        <v>1.591</v>
      </c>
      <c r="X26" s="4">
        <v>3.7309999999999999</v>
      </c>
      <c r="Y26" s="4">
        <v>9.2550000000000008</v>
      </c>
      <c r="Z26" s="8">
        <v>779</v>
      </c>
      <c r="AA26" s="8">
        <v>5270</v>
      </c>
      <c r="AB26" s="4">
        <v>950</v>
      </c>
      <c r="AC26" s="4">
        <v>0.06</v>
      </c>
      <c r="AD26" s="5">
        <v>1</v>
      </c>
      <c r="AE26" s="16">
        <v>0.08</v>
      </c>
      <c r="AF26" s="4">
        <v>0</v>
      </c>
      <c r="AG26" s="4">
        <v>1</v>
      </c>
      <c r="AH26" s="4">
        <v>3.06</v>
      </c>
      <c r="AI26" s="4">
        <v>3.06074</v>
      </c>
      <c r="AJ26" s="4">
        <v>-1.6000000000000001E-4</v>
      </c>
      <c r="AK26" s="4">
        <v>1E-4</v>
      </c>
      <c r="AL26" s="4">
        <v>0</v>
      </c>
      <c r="AM26" s="4">
        <v>0</v>
      </c>
      <c r="AN26" s="4">
        <v>0.29799999999999999</v>
      </c>
      <c r="AO26" s="5">
        <f t="shared" si="5"/>
        <v>0.14781783681214422</v>
      </c>
      <c r="AP26" s="8">
        <f t="shared" si="6"/>
        <v>171</v>
      </c>
      <c r="AQ26" s="6">
        <f t="shared" si="0"/>
        <v>0.91443850267379678</v>
      </c>
      <c r="AR26" s="5">
        <f t="shared" si="7"/>
        <v>0.18026565464895636</v>
      </c>
      <c r="AS26" s="5">
        <f t="shared" si="8"/>
        <v>0.57907213003725022</v>
      </c>
      <c r="AT26" s="5">
        <f t="shared" si="11"/>
        <v>-9.7452887843471253E-2</v>
      </c>
      <c r="AU26" s="5">
        <f t="shared" si="10"/>
        <v>-0.15578750584203188</v>
      </c>
      <c r="AV26" s="4">
        <f t="shared" si="1"/>
        <v>0</v>
      </c>
      <c r="AW26" s="4">
        <f t="shared" si="2"/>
        <v>5</v>
      </c>
      <c r="AX26" s="4">
        <f t="shared" si="3"/>
        <v>0</v>
      </c>
      <c r="AY26" s="4">
        <f t="shared" si="4"/>
        <v>0</v>
      </c>
      <c r="AZ26" s="4">
        <f t="shared" si="9"/>
        <v>0</v>
      </c>
    </row>
    <row r="27" spans="1:52" x14ac:dyDescent="0.3">
      <c r="A27" s="4" t="s">
        <v>52</v>
      </c>
      <c r="B27" s="4" t="s">
        <v>56</v>
      </c>
      <c r="C27" s="4" t="s">
        <v>54</v>
      </c>
      <c r="D27" s="4" t="s">
        <v>56</v>
      </c>
      <c r="E27" s="4" t="s">
        <v>55</v>
      </c>
      <c r="F27" s="4">
        <v>2</v>
      </c>
      <c r="G27" s="4">
        <v>0.04</v>
      </c>
      <c r="H27" s="4" t="b">
        <v>0</v>
      </c>
      <c r="I27" s="4" t="b">
        <v>0</v>
      </c>
      <c r="J27" s="4" t="b">
        <v>0</v>
      </c>
      <c r="K27" s="4">
        <v>2.9529999999999998</v>
      </c>
      <c r="L27" s="4">
        <v>5.1999999999999998E-2</v>
      </c>
      <c r="M27" s="4">
        <v>-5.8000000000000003E-2</v>
      </c>
      <c r="N27" s="4">
        <v>-13523.15</v>
      </c>
      <c r="O27" s="4">
        <v>-0.33200000000000002</v>
      </c>
      <c r="P27" s="4">
        <v>5.0000000000000001E-3</v>
      </c>
      <c r="Q27" s="5">
        <v>1E-3</v>
      </c>
      <c r="R27" s="5">
        <v>0.18</v>
      </c>
      <c r="S27" s="9">
        <v>364.52</v>
      </c>
      <c r="T27" s="4">
        <v>1838.375</v>
      </c>
      <c r="U27" s="4">
        <v>1.67</v>
      </c>
      <c r="V27" s="4">
        <v>2.266</v>
      </c>
      <c r="W27" s="4">
        <v>1.446</v>
      </c>
      <c r="X27" s="4">
        <v>3.7290000000000001</v>
      </c>
      <c r="Y27" s="4">
        <v>9.1150000000000002</v>
      </c>
      <c r="Z27" s="8">
        <v>815</v>
      </c>
      <c r="AA27" s="8">
        <v>5270</v>
      </c>
      <c r="AB27" s="4">
        <v>985</v>
      </c>
      <c r="AC27" s="4">
        <v>0.06</v>
      </c>
      <c r="AD27" s="5">
        <v>1</v>
      </c>
      <c r="AE27" s="16">
        <v>0</v>
      </c>
      <c r="AF27" s="4">
        <v>0</v>
      </c>
      <c r="AG27" s="4">
        <v>1</v>
      </c>
      <c r="AH27" s="4">
        <v>3.06</v>
      </c>
      <c r="AI27" s="4">
        <v>3.06067</v>
      </c>
      <c r="AJ27" s="4">
        <v>-1.0000000000000001E-5</v>
      </c>
      <c r="AK27" s="4">
        <v>1.1E-4</v>
      </c>
      <c r="AL27" s="4">
        <v>0</v>
      </c>
      <c r="AM27" s="4">
        <v>0</v>
      </c>
      <c r="AN27" s="4">
        <v>0.29799999999999999</v>
      </c>
      <c r="AO27" s="5">
        <f t="shared" si="5"/>
        <v>0.15464895635673626</v>
      </c>
      <c r="AP27" s="8">
        <f t="shared" si="6"/>
        <v>170</v>
      </c>
      <c r="AQ27" s="6">
        <f t="shared" si="0"/>
        <v>0.90909090909090906</v>
      </c>
      <c r="AR27" s="5">
        <f t="shared" si="7"/>
        <v>0.18690702087286529</v>
      </c>
      <c r="AS27" s="5">
        <f t="shared" si="8"/>
        <v>0.57568574331188616</v>
      </c>
      <c r="AT27" s="5">
        <f t="shared" si="11"/>
        <v>-9.833613078698164E-2</v>
      </c>
      <c r="AU27" s="5">
        <f t="shared" si="10"/>
        <v>-8.4537999830923943E-2</v>
      </c>
      <c r="AV27" s="4">
        <f t="shared" si="1"/>
        <v>0</v>
      </c>
      <c r="AW27" s="4">
        <f t="shared" si="2"/>
        <v>5</v>
      </c>
      <c r="AX27" s="4">
        <f t="shared" si="3"/>
        <v>0</v>
      </c>
      <c r="AY27" s="4">
        <f t="shared" si="4"/>
        <v>0</v>
      </c>
      <c r="AZ27" s="4">
        <f t="shared" si="9"/>
        <v>0</v>
      </c>
    </row>
    <row r="28" spans="1:52" x14ac:dyDescent="0.3">
      <c r="A28" s="4" t="s">
        <v>52</v>
      </c>
      <c r="B28" s="4" t="s">
        <v>56</v>
      </c>
      <c r="C28" s="4" t="s">
        <v>54</v>
      </c>
      <c r="D28" s="4" t="s">
        <v>56</v>
      </c>
      <c r="E28" s="4" t="s">
        <v>55</v>
      </c>
      <c r="F28" s="4">
        <v>2</v>
      </c>
      <c r="G28" s="4">
        <v>0.04</v>
      </c>
      <c r="H28" s="4" t="b">
        <v>0</v>
      </c>
      <c r="I28" s="4" t="b">
        <v>0</v>
      </c>
      <c r="J28" s="4" t="b">
        <v>0</v>
      </c>
      <c r="K28" s="4">
        <v>2.9529999999999998</v>
      </c>
      <c r="L28" s="4">
        <v>5.1999999999999998E-2</v>
      </c>
      <c r="M28" s="4">
        <v>-5.8000000000000003E-2</v>
      </c>
      <c r="N28" s="4">
        <v>-52068.561000000002</v>
      </c>
      <c r="O28" s="4">
        <v>-8.5999999999999993E-2</v>
      </c>
      <c r="P28" s="4">
        <v>5.0000000000000001E-3</v>
      </c>
      <c r="Q28" s="5">
        <v>1E-3</v>
      </c>
      <c r="R28" s="5">
        <v>0.18</v>
      </c>
      <c r="S28" s="9">
        <v>376.17599999999999</v>
      </c>
      <c r="T28" s="4">
        <v>1838.375</v>
      </c>
      <c r="U28" s="4">
        <v>1.591</v>
      </c>
      <c r="V28" s="4">
        <v>2.2410000000000001</v>
      </c>
      <c r="W28" s="4">
        <v>1.548</v>
      </c>
      <c r="X28" s="4">
        <v>3.782</v>
      </c>
      <c r="Y28" s="4">
        <v>9.1639999999999997</v>
      </c>
      <c r="Z28" s="8">
        <v>851</v>
      </c>
      <c r="AA28" s="8">
        <v>5270</v>
      </c>
      <c r="AB28" s="4">
        <v>1020</v>
      </c>
      <c r="AC28" s="4">
        <v>0.06</v>
      </c>
      <c r="AD28" s="5">
        <v>1</v>
      </c>
      <c r="AE28" s="16">
        <v>0</v>
      </c>
      <c r="AF28" s="4">
        <v>0</v>
      </c>
      <c r="AG28" s="4">
        <v>1</v>
      </c>
      <c r="AH28" s="4">
        <v>3.06</v>
      </c>
      <c r="AI28" s="4">
        <v>3.0727500000000001</v>
      </c>
      <c r="AJ28" s="4">
        <v>1.0399999999999999E-3</v>
      </c>
      <c r="AK28" s="4">
        <v>3.5E-4</v>
      </c>
      <c r="AL28" s="4">
        <v>0</v>
      </c>
      <c r="AM28" s="4">
        <v>0</v>
      </c>
      <c r="AN28" s="4">
        <v>0.30199999999999999</v>
      </c>
      <c r="AO28" s="5">
        <f t="shared" si="5"/>
        <v>0.16148007590132826</v>
      </c>
      <c r="AP28" s="8">
        <f t="shared" si="6"/>
        <v>169</v>
      </c>
      <c r="AQ28" s="6">
        <f t="shared" si="0"/>
        <v>0.90374331550802134</v>
      </c>
      <c r="AR28" s="5">
        <f t="shared" si="7"/>
        <v>0.19354838709677419</v>
      </c>
      <c r="AS28" s="5">
        <f t="shared" si="8"/>
        <v>0.5722993565865222</v>
      </c>
      <c r="AT28" s="5">
        <f t="shared" si="11"/>
        <v>-0.11549467574236942</v>
      </c>
      <c r="AU28" s="5">
        <f t="shared" si="10"/>
        <v>-8.5792724776938875E-2</v>
      </c>
      <c r="AV28" s="4">
        <f t="shared" si="1"/>
        <v>0</v>
      </c>
      <c r="AW28" s="4">
        <f t="shared" si="2"/>
        <v>5</v>
      </c>
      <c r="AX28" s="4">
        <f t="shared" si="3"/>
        <v>0</v>
      </c>
      <c r="AY28" s="4">
        <f t="shared" si="4"/>
        <v>0</v>
      </c>
      <c r="AZ28" s="4">
        <f t="shared" si="9"/>
        <v>0</v>
      </c>
    </row>
    <row r="29" spans="1:52" x14ac:dyDescent="0.3">
      <c r="A29" s="4" t="s">
        <v>59</v>
      </c>
      <c r="B29" s="4" t="s">
        <v>56</v>
      </c>
      <c r="C29" s="4" t="s">
        <v>54</v>
      </c>
      <c r="D29" s="4" t="s">
        <v>56</v>
      </c>
      <c r="E29" s="4" t="s">
        <v>55</v>
      </c>
      <c r="F29" s="4">
        <v>2</v>
      </c>
      <c r="G29" s="4">
        <v>0.04</v>
      </c>
      <c r="H29" s="4" t="b">
        <v>0</v>
      </c>
      <c r="I29" s="4" t="b">
        <v>0</v>
      </c>
      <c r="J29" s="4" t="b">
        <v>0</v>
      </c>
      <c r="K29" s="4">
        <v>2.9529999999999998</v>
      </c>
      <c r="L29" s="4">
        <v>5.1999999999999998E-2</v>
      </c>
      <c r="M29" s="4">
        <v>-5.8000000000000003E-2</v>
      </c>
      <c r="N29" s="4">
        <v>-25863.214</v>
      </c>
      <c r="O29" s="4">
        <v>-0.17100000000000001</v>
      </c>
      <c r="P29" s="4">
        <v>5.0000000000000001E-3</v>
      </c>
      <c r="Q29" s="5">
        <v>1E-3</v>
      </c>
      <c r="R29" s="5">
        <v>0.18</v>
      </c>
      <c r="S29" s="9">
        <v>387.89800000000002</v>
      </c>
      <c r="T29" s="4">
        <v>1838.375</v>
      </c>
      <c r="U29" s="4">
        <v>1.645</v>
      </c>
      <c r="V29" s="4">
        <v>2.5979999999999999</v>
      </c>
      <c r="W29" s="4">
        <v>2.0489999999999999</v>
      </c>
      <c r="X29" s="4">
        <v>4.5810000000000004</v>
      </c>
      <c r="Y29" s="4">
        <v>10.877000000000001</v>
      </c>
      <c r="Z29" s="8">
        <v>887</v>
      </c>
      <c r="AA29" s="8">
        <v>5270</v>
      </c>
      <c r="AB29" s="4">
        <v>1054</v>
      </c>
      <c r="AC29" s="4">
        <v>0.06</v>
      </c>
      <c r="AD29" s="5">
        <v>1</v>
      </c>
      <c r="AE29" s="16">
        <v>0</v>
      </c>
      <c r="AF29" s="4">
        <v>0</v>
      </c>
      <c r="AG29" s="4">
        <v>1</v>
      </c>
      <c r="AH29" s="4">
        <v>3.06</v>
      </c>
      <c r="AI29" s="4">
        <v>3.0663100000000001</v>
      </c>
      <c r="AJ29" s="4">
        <v>-5.5000000000000003E-4</v>
      </c>
      <c r="AK29" s="4">
        <v>2.2000000000000001E-4</v>
      </c>
      <c r="AL29" s="4">
        <v>0</v>
      </c>
      <c r="AM29" s="4">
        <v>0</v>
      </c>
      <c r="AN29" s="4">
        <v>0.29799999999999999</v>
      </c>
      <c r="AO29" s="5">
        <f t="shared" si="5"/>
        <v>0.1683111954459203</v>
      </c>
      <c r="AP29" s="8">
        <f t="shared" si="6"/>
        <v>167</v>
      </c>
      <c r="AQ29" s="6">
        <f t="shared" si="0"/>
        <v>0.89304812834224601</v>
      </c>
      <c r="AR29" s="5">
        <f t="shared" si="7"/>
        <v>0.2</v>
      </c>
      <c r="AS29" s="5">
        <f t="shared" si="8"/>
        <v>0.56552658313579407</v>
      </c>
      <c r="AT29" s="5">
        <f t="shared" si="11"/>
        <v>-0.11606712784179596</v>
      </c>
      <c r="AU29" s="5">
        <f t="shared" si="10"/>
        <v>-0.1706193482340892</v>
      </c>
      <c r="AV29" s="4">
        <f t="shared" si="1"/>
        <v>0</v>
      </c>
      <c r="AW29" s="4">
        <f t="shared" si="2"/>
        <v>5</v>
      </c>
      <c r="AX29" s="4">
        <f t="shared" si="3"/>
        <v>0</v>
      </c>
      <c r="AY29" s="4">
        <f t="shared" si="4"/>
        <v>0</v>
      </c>
      <c r="AZ29" s="4">
        <f t="shared" si="9"/>
        <v>0</v>
      </c>
    </row>
    <row r="30" spans="1:52" x14ac:dyDescent="0.3">
      <c r="A30" s="4" t="s">
        <v>52</v>
      </c>
      <c r="B30" s="4" t="s">
        <v>56</v>
      </c>
      <c r="C30" s="4" t="s">
        <v>54</v>
      </c>
      <c r="D30" s="4" t="s">
        <v>56</v>
      </c>
      <c r="E30" s="4" t="s">
        <v>55</v>
      </c>
      <c r="F30" s="4">
        <v>2</v>
      </c>
      <c r="G30" s="4">
        <v>0.04</v>
      </c>
      <c r="H30" s="4" t="b">
        <v>0</v>
      </c>
      <c r="I30" s="4" t="b">
        <v>0</v>
      </c>
      <c r="J30" s="4" t="b">
        <v>0</v>
      </c>
      <c r="K30" s="4">
        <v>2.9529999999999998</v>
      </c>
      <c r="L30" s="4">
        <v>5.1999999999999998E-2</v>
      </c>
      <c r="M30" s="4">
        <v>-5.8000000000000003E-2</v>
      </c>
      <c r="N30" s="4">
        <v>14731.036</v>
      </c>
      <c r="O30" s="4">
        <v>0.29799999999999999</v>
      </c>
      <c r="P30" s="4">
        <v>5.0000000000000001E-3</v>
      </c>
      <c r="Q30" s="5">
        <v>1E-3</v>
      </c>
      <c r="R30" s="5">
        <v>0.18</v>
      </c>
      <c r="S30" s="9">
        <v>401.71300000000002</v>
      </c>
      <c r="T30" s="4">
        <v>1838.375</v>
      </c>
      <c r="U30" s="4">
        <v>1.5840000000000001</v>
      </c>
      <c r="V30" s="4">
        <v>2.258</v>
      </c>
      <c r="W30" s="4">
        <v>1.56</v>
      </c>
      <c r="X30" s="4">
        <v>3.895</v>
      </c>
      <c r="Y30" s="4">
        <v>9.3000000000000007</v>
      </c>
      <c r="Z30" s="8">
        <v>929</v>
      </c>
      <c r="AA30" s="8">
        <v>5270</v>
      </c>
      <c r="AB30" s="4">
        <v>1094</v>
      </c>
      <c r="AC30" s="4">
        <v>0.06</v>
      </c>
      <c r="AD30" s="5">
        <v>1</v>
      </c>
      <c r="AE30" s="16">
        <v>0</v>
      </c>
      <c r="AF30" s="4">
        <v>0</v>
      </c>
      <c r="AG30" s="4">
        <v>1</v>
      </c>
      <c r="AH30" s="4">
        <v>3.06</v>
      </c>
      <c r="AI30" s="4">
        <v>3.05525</v>
      </c>
      <c r="AJ30" s="4">
        <v>-8.0000000000000004E-4</v>
      </c>
      <c r="AK30" s="4">
        <v>-1.2E-4</v>
      </c>
      <c r="AL30" s="4">
        <v>0</v>
      </c>
      <c r="AM30" s="4">
        <v>0</v>
      </c>
      <c r="AN30" s="4">
        <v>0.29499999999999998</v>
      </c>
      <c r="AO30" s="5">
        <f t="shared" si="5"/>
        <v>0.176280834914611</v>
      </c>
      <c r="AP30" s="8">
        <f t="shared" si="6"/>
        <v>165</v>
      </c>
      <c r="AQ30" s="6">
        <f t="shared" si="0"/>
        <v>0.88235294117647056</v>
      </c>
      <c r="AR30" s="5">
        <f t="shared" si="7"/>
        <v>0.20759013282732447</v>
      </c>
      <c r="AS30" s="5">
        <f t="shared" si="8"/>
        <v>0.55875380968506605</v>
      </c>
      <c r="AT30" s="5">
        <f t="shared" si="11"/>
        <v>-0.12830155120549022</v>
      </c>
      <c r="AU30" s="5">
        <f t="shared" si="10"/>
        <v>-0.14477017734346728</v>
      </c>
      <c r="AV30" s="4">
        <f t="shared" si="1"/>
        <v>0</v>
      </c>
      <c r="AW30" s="4">
        <f t="shared" si="2"/>
        <v>5</v>
      </c>
      <c r="AX30" s="4">
        <f t="shared" si="3"/>
        <v>0</v>
      </c>
      <c r="AY30" s="4">
        <f t="shared" si="4"/>
        <v>0</v>
      </c>
      <c r="AZ30" s="4">
        <f t="shared" si="9"/>
        <v>0</v>
      </c>
    </row>
    <row r="31" spans="1:52" x14ac:dyDescent="0.3">
      <c r="A31" s="4" t="s">
        <v>52</v>
      </c>
      <c r="B31" s="4" t="s">
        <v>56</v>
      </c>
      <c r="C31" s="4" t="s">
        <v>54</v>
      </c>
      <c r="D31" s="4" t="s">
        <v>56</v>
      </c>
      <c r="E31" s="4" t="s">
        <v>55</v>
      </c>
      <c r="F31" s="4">
        <v>2</v>
      </c>
      <c r="G31" s="4">
        <v>0.04</v>
      </c>
      <c r="H31" s="4" t="b">
        <v>0</v>
      </c>
      <c r="I31" s="4" t="b">
        <v>0</v>
      </c>
      <c r="J31" s="4" t="b">
        <v>0</v>
      </c>
      <c r="K31" s="4">
        <v>2.9529999999999998</v>
      </c>
      <c r="L31" s="4">
        <v>5.1999999999999998E-2</v>
      </c>
      <c r="M31" s="4">
        <v>-5.8000000000000003E-2</v>
      </c>
      <c r="N31" s="4">
        <v>-8854.6460000000006</v>
      </c>
      <c r="O31" s="4">
        <v>-0.49</v>
      </c>
      <c r="P31" s="4">
        <v>5.0000000000000001E-3</v>
      </c>
      <c r="Q31" s="5">
        <v>1E-3</v>
      </c>
      <c r="R31" s="5">
        <v>0.18</v>
      </c>
      <c r="S31" s="9">
        <v>415.24</v>
      </c>
      <c r="T31" s="4">
        <v>1838.375</v>
      </c>
      <c r="U31" s="4">
        <v>1.6359999999999999</v>
      </c>
      <c r="V31" s="4">
        <v>2.3929999999999998</v>
      </c>
      <c r="W31" s="4">
        <v>1.6359999999999999</v>
      </c>
      <c r="X31" s="4">
        <v>4.7</v>
      </c>
      <c r="Y31" s="4">
        <v>10.37</v>
      </c>
      <c r="Z31" s="8">
        <v>970</v>
      </c>
      <c r="AA31" s="8">
        <v>5270</v>
      </c>
      <c r="AB31" s="4">
        <v>1130</v>
      </c>
      <c r="AC31" s="4">
        <v>0.06</v>
      </c>
      <c r="AD31" s="5">
        <v>1</v>
      </c>
      <c r="AE31" s="16">
        <v>0</v>
      </c>
      <c r="AF31" s="4">
        <v>0</v>
      </c>
      <c r="AG31" s="4">
        <v>1</v>
      </c>
      <c r="AH31" s="4">
        <v>3.06</v>
      </c>
      <c r="AI31" s="4">
        <v>3.0535999999999999</v>
      </c>
      <c r="AJ31" s="4">
        <v>-1.2E-4</v>
      </c>
      <c r="AK31" s="4">
        <v>-1.1E-4</v>
      </c>
      <c r="AL31" s="4">
        <v>0</v>
      </c>
      <c r="AM31" s="4">
        <v>0</v>
      </c>
      <c r="AN31" s="4">
        <v>0.29799999999999999</v>
      </c>
      <c r="AO31" s="5">
        <f t="shared" si="5"/>
        <v>0.18406072106261859</v>
      </c>
      <c r="AP31" s="8">
        <f t="shared" si="6"/>
        <v>160</v>
      </c>
      <c r="AQ31" s="6">
        <f t="shared" si="0"/>
        <v>0.85561497326203206</v>
      </c>
      <c r="AR31" s="5">
        <f t="shared" si="7"/>
        <v>0.2144212523719165</v>
      </c>
      <c r="AS31" s="5">
        <f t="shared" si="8"/>
        <v>0.54182187605824583</v>
      </c>
      <c r="AT31" s="5">
        <f t="shared" si="11"/>
        <v>-0.17107027166789637</v>
      </c>
      <c r="AU31" s="5">
        <f t="shared" si="10"/>
        <v>-0.36963110815406258</v>
      </c>
      <c r="AV31" s="4">
        <f t="shared" si="1"/>
        <v>0</v>
      </c>
      <c r="AW31" s="4">
        <f t="shared" si="2"/>
        <v>5</v>
      </c>
      <c r="AX31" s="4">
        <f t="shared" si="3"/>
        <v>0</v>
      </c>
      <c r="AY31" s="4">
        <f t="shared" si="4"/>
        <v>0</v>
      </c>
      <c r="AZ31" s="4">
        <f t="shared" si="9"/>
        <v>0</v>
      </c>
    </row>
    <row r="32" spans="1:52" x14ac:dyDescent="0.3">
      <c r="A32" s="4" t="s">
        <v>52</v>
      </c>
      <c r="B32" s="4" t="s">
        <v>56</v>
      </c>
      <c r="C32" s="4" t="s">
        <v>54</v>
      </c>
      <c r="D32" s="4" t="s">
        <v>56</v>
      </c>
      <c r="E32" s="4" t="s">
        <v>55</v>
      </c>
      <c r="F32" s="4">
        <v>2</v>
      </c>
      <c r="G32" s="4">
        <v>0.04</v>
      </c>
      <c r="H32" s="4" t="b">
        <v>0</v>
      </c>
      <c r="I32" s="4" t="b">
        <v>0</v>
      </c>
      <c r="J32" s="4" t="b">
        <v>0</v>
      </c>
      <c r="K32" s="4">
        <v>2.9529999999999998</v>
      </c>
      <c r="L32" s="4">
        <v>5.1999999999999998E-2</v>
      </c>
      <c r="M32" s="4">
        <v>-5.8000000000000003E-2</v>
      </c>
      <c r="N32" s="4">
        <v>31383.642</v>
      </c>
      <c r="O32" s="4">
        <v>0.13700000000000001</v>
      </c>
      <c r="P32" s="4">
        <v>5.0000000000000001E-3</v>
      </c>
      <c r="Q32" s="5">
        <v>1E-3</v>
      </c>
      <c r="R32" s="5">
        <v>0.18</v>
      </c>
      <c r="S32" s="9">
        <v>429.83100000000002</v>
      </c>
      <c r="T32" s="4">
        <v>1838.375</v>
      </c>
      <c r="U32" s="4">
        <v>1.8580000000000001</v>
      </c>
      <c r="V32" s="4">
        <v>2.8149999999999999</v>
      </c>
      <c r="W32" s="4">
        <v>1.6919999999999999</v>
      </c>
      <c r="X32" s="4">
        <v>4.0490000000000004</v>
      </c>
      <c r="Y32" s="4">
        <v>10.417999999999999</v>
      </c>
      <c r="Z32" s="8">
        <v>1016</v>
      </c>
      <c r="AA32" s="8">
        <v>5270</v>
      </c>
      <c r="AB32" s="4">
        <v>1173</v>
      </c>
      <c r="AC32" s="4">
        <v>0.06</v>
      </c>
      <c r="AD32" s="5">
        <v>1</v>
      </c>
      <c r="AE32" s="16">
        <v>0</v>
      </c>
      <c r="AF32" s="4">
        <v>0</v>
      </c>
      <c r="AG32" s="4">
        <v>1</v>
      </c>
      <c r="AH32" s="4">
        <v>3.06</v>
      </c>
      <c r="AI32" s="4">
        <v>3.0775600000000001</v>
      </c>
      <c r="AJ32" s="4">
        <v>1.64E-3</v>
      </c>
      <c r="AK32" s="4">
        <v>2.5999999999999998E-4</v>
      </c>
      <c r="AL32" s="4">
        <v>0</v>
      </c>
      <c r="AM32" s="4">
        <v>0</v>
      </c>
      <c r="AN32" s="4">
        <v>0.29799999999999999</v>
      </c>
      <c r="AO32" s="5">
        <f t="shared" si="5"/>
        <v>0.19278937381404174</v>
      </c>
      <c r="AP32" s="8">
        <f t="shared" si="6"/>
        <v>157</v>
      </c>
      <c r="AQ32" s="6">
        <f t="shared" si="0"/>
        <v>0.83957219251336901</v>
      </c>
      <c r="AR32" s="5">
        <f t="shared" si="7"/>
        <v>0.22258064516129034</v>
      </c>
      <c r="AS32" s="5">
        <f t="shared" si="8"/>
        <v>0.53166271588215375</v>
      </c>
      <c r="AT32" s="5">
        <f t="shared" si="11"/>
        <v>-0.19528391082171703</v>
      </c>
      <c r="AU32" s="5">
        <f t="shared" si="10"/>
        <v>-0.2056061956000273</v>
      </c>
      <c r="AV32" s="4">
        <f t="shared" si="1"/>
        <v>0</v>
      </c>
      <c r="AW32" s="4">
        <f t="shared" si="2"/>
        <v>5</v>
      </c>
      <c r="AX32" s="4">
        <f t="shared" si="3"/>
        <v>0</v>
      </c>
      <c r="AY32" s="4">
        <f t="shared" si="4"/>
        <v>0</v>
      </c>
      <c r="AZ32" s="4">
        <f t="shared" si="9"/>
        <v>0</v>
      </c>
    </row>
    <row r="33" spans="1:52" x14ac:dyDescent="0.3">
      <c r="A33" s="4" t="s">
        <v>52</v>
      </c>
      <c r="B33" s="4" t="s">
        <v>56</v>
      </c>
      <c r="C33" s="4" t="s">
        <v>54</v>
      </c>
      <c r="D33" s="4" t="s">
        <v>56</v>
      </c>
      <c r="E33" s="4" t="s">
        <v>55</v>
      </c>
      <c r="F33" s="4">
        <v>2</v>
      </c>
      <c r="G33" s="4">
        <v>0.04</v>
      </c>
      <c r="H33" s="4" t="b">
        <v>0</v>
      </c>
      <c r="I33" s="4" t="b">
        <v>0</v>
      </c>
      <c r="J33" s="4" t="b">
        <v>0</v>
      </c>
      <c r="K33" s="4">
        <v>2.9529999999999998</v>
      </c>
      <c r="L33" s="4">
        <v>5.1999999999999998E-2</v>
      </c>
      <c r="M33" s="4">
        <v>-5.8000000000000003E-2</v>
      </c>
      <c r="N33" s="4">
        <v>-31136.626</v>
      </c>
      <c r="O33" s="4">
        <v>-0.13700000000000001</v>
      </c>
      <c r="P33" s="4">
        <v>5.0000000000000001E-3</v>
      </c>
      <c r="Q33" s="5">
        <v>1E-3</v>
      </c>
      <c r="R33" s="5">
        <v>0.18</v>
      </c>
      <c r="S33" s="9">
        <v>443.34800000000001</v>
      </c>
      <c r="T33" s="4">
        <v>1838.375</v>
      </c>
      <c r="U33" s="4">
        <v>2.2250000000000001</v>
      </c>
      <c r="V33" s="4">
        <v>2.4649999999999999</v>
      </c>
      <c r="W33" s="4">
        <v>1.627</v>
      </c>
      <c r="X33" s="4">
        <v>4.0339999999999998</v>
      </c>
      <c r="Y33" s="4">
        <v>10.355</v>
      </c>
      <c r="Z33" s="8">
        <v>1057</v>
      </c>
      <c r="AA33" s="8">
        <v>5270</v>
      </c>
      <c r="AB33" s="4">
        <v>1217</v>
      </c>
      <c r="AC33" s="4">
        <v>0.06</v>
      </c>
      <c r="AD33" s="5">
        <v>1</v>
      </c>
      <c r="AE33" s="16">
        <v>0</v>
      </c>
      <c r="AF33" s="4">
        <v>0</v>
      </c>
      <c r="AG33" s="4">
        <v>1</v>
      </c>
      <c r="AH33" s="4">
        <v>3.06</v>
      </c>
      <c r="AI33" s="4">
        <v>3.0667399999999998</v>
      </c>
      <c r="AJ33" s="4">
        <v>-8.0000000000000004E-4</v>
      </c>
      <c r="AK33" s="4">
        <v>-9.0000000000000006E-5</v>
      </c>
      <c r="AL33" s="4">
        <v>0</v>
      </c>
      <c r="AM33" s="4">
        <v>0</v>
      </c>
      <c r="AN33" s="4">
        <v>0.29799999999999999</v>
      </c>
      <c r="AO33" s="5">
        <f t="shared" si="5"/>
        <v>0.20056925996204933</v>
      </c>
      <c r="AP33" s="8">
        <f t="shared" si="6"/>
        <v>160</v>
      </c>
      <c r="AQ33" s="6">
        <f t="shared" si="0"/>
        <v>0.85561497326203206</v>
      </c>
      <c r="AR33" s="5">
        <f t="shared" si="7"/>
        <v>0.23092979127134725</v>
      </c>
      <c r="AS33" s="5">
        <f t="shared" si="8"/>
        <v>0.54182187605824583</v>
      </c>
      <c r="AT33" s="5">
        <f t="shared" si="11"/>
        <v>-0.13373681811164997</v>
      </c>
      <c r="AU33" s="5">
        <f t="shared" si="10"/>
        <v>0.22194273877339654</v>
      </c>
      <c r="AV33" s="4">
        <f t="shared" si="1"/>
        <v>0</v>
      </c>
      <c r="AW33" s="4">
        <f t="shared" si="2"/>
        <v>5</v>
      </c>
      <c r="AX33" s="4">
        <f t="shared" si="3"/>
        <v>0</v>
      </c>
      <c r="AY33" s="4">
        <f t="shared" si="4"/>
        <v>0</v>
      </c>
      <c r="AZ33" s="4">
        <f t="shared" si="9"/>
        <v>0</v>
      </c>
    </row>
    <row r="34" spans="1:52" x14ac:dyDescent="0.3">
      <c r="A34" s="4" t="s">
        <v>52</v>
      </c>
      <c r="B34" s="4" t="s">
        <v>56</v>
      </c>
      <c r="C34" s="4" t="s">
        <v>54</v>
      </c>
      <c r="D34" s="4" t="s">
        <v>56</v>
      </c>
      <c r="E34" s="4" t="s">
        <v>55</v>
      </c>
      <c r="F34" s="4">
        <v>2</v>
      </c>
      <c r="G34" s="4">
        <v>0.04</v>
      </c>
      <c r="H34" s="4" t="b">
        <v>0</v>
      </c>
      <c r="I34" s="4" t="b">
        <v>0</v>
      </c>
      <c r="J34" s="4" t="b">
        <v>0</v>
      </c>
      <c r="K34" s="4">
        <v>2.9529999999999998</v>
      </c>
      <c r="L34" s="4">
        <v>5.1999999999999998E-2</v>
      </c>
      <c r="M34" s="4">
        <v>-5.8000000000000003E-2</v>
      </c>
      <c r="N34" s="4">
        <v>-28345.154999999999</v>
      </c>
      <c r="O34" s="4">
        <v>-0.14899999999999999</v>
      </c>
      <c r="P34" s="4">
        <v>5.0000000000000001E-3</v>
      </c>
      <c r="Q34" s="5">
        <v>1E-3</v>
      </c>
      <c r="R34" s="5">
        <v>0.18</v>
      </c>
      <c r="S34" s="9">
        <v>460.75799999999998</v>
      </c>
      <c r="T34" s="4">
        <v>1838.375</v>
      </c>
      <c r="U34" s="4">
        <v>1.704</v>
      </c>
      <c r="V34" s="4">
        <v>2.302</v>
      </c>
      <c r="W34" s="4">
        <v>3.0880000000000001</v>
      </c>
      <c r="X34" s="4">
        <v>4.4560000000000004</v>
      </c>
      <c r="Y34" s="4">
        <v>11.553000000000001</v>
      </c>
      <c r="Z34" s="8">
        <v>1110</v>
      </c>
      <c r="AA34" s="8">
        <v>5270</v>
      </c>
      <c r="AB34" s="4">
        <v>1256</v>
      </c>
      <c r="AC34" s="4">
        <v>0.06</v>
      </c>
      <c r="AD34" s="5">
        <v>0.995</v>
      </c>
      <c r="AE34" s="16">
        <v>0</v>
      </c>
      <c r="AF34" s="4">
        <v>0</v>
      </c>
      <c r="AG34" s="4">
        <v>0.995</v>
      </c>
      <c r="AH34" s="4">
        <v>3.06</v>
      </c>
      <c r="AI34" s="4">
        <v>3.0606599999999999</v>
      </c>
      <c r="AJ34" s="4">
        <v>-3.5E-4</v>
      </c>
      <c r="AK34" s="4">
        <v>-8.0000000000000007E-5</v>
      </c>
      <c r="AL34" s="4">
        <v>0</v>
      </c>
      <c r="AM34" s="4">
        <v>0</v>
      </c>
      <c r="AN34" s="4">
        <v>0.29499999999999998</v>
      </c>
      <c r="AO34" s="5">
        <f t="shared" si="5"/>
        <v>0.21062618595825428</v>
      </c>
      <c r="AP34" s="8">
        <f t="shared" si="6"/>
        <v>146</v>
      </c>
      <c r="AQ34" s="6">
        <f t="shared" si="0"/>
        <v>0.78074866310160429</v>
      </c>
      <c r="AR34" s="5">
        <f t="shared" si="7"/>
        <v>0.23833017077798863</v>
      </c>
      <c r="AS34" s="5">
        <f t="shared" si="8"/>
        <v>0.4944124619031493</v>
      </c>
      <c r="AT34" s="5">
        <f t="shared" si="11"/>
        <v>-0.26044005932066244</v>
      </c>
      <c r="AU34" s="5">
        <f t="shared" si="10"/>
        <v>-0.8041355542791514</v>
      </c>
      <c r="AV34" s="4">
        <f t="shared" ref="AV34:AV65" si="12">IF(B34="ACCELERATION",5,0)</f>
        <v>0</v>
      </c>
      <c r="AW34" s="4">
        <f t="shared" ref="AW34:AW65" si="13">IF(B34="CRUISING",5,0)</f>
        <v>5</v>
      </c>
      <c r="AX34" s="4">
        <f t="shared" ref="AX34:AX65" si="14">IF(B34="DECELERATION",5,0)</f>
        <v>0</v>
      </c>
      <c r="AY34" s="4">
        <f t="shared" ref="AY34:AY65" si="15">IF(B34="END",5,0)</f>
        <v>0</v>
      </c>
      <c r="AZ34" s="4">
        <f t="shared" si="9"/>
        <v>0</v>
      </c>
    </row>
    <row r="35" spans="1:52" x14ac:dyDescent="0.3">
      <c r="A35" s="4" t="s">
        <v>52</v>
      </c>
      <c r="B35" s="4" t="s">
        <v>56</v>
      </c>
      <c r="C35" s="4" t="s">
        <v>54</v>
      </c>
      <c r="D35" s="4" t="s">
        <v>56</v>
      </c>
      <c r="E35" s="4" t="s">
        <v>55</v>
      </c>
      <c r="F35" s="4">
        <v>2</v>
      </c>
      <c r="G35" s="4">
        <v>0.04</v>
      </c>
      <c r="H35" s="4" t="b">
        <v>0</v>
      </c>
      <c r="I35" s="4" t="b">
        <v>0</v>
      </c>
      <c r="J35" s="4" t="b">
        <v>0</v>
      </c>
      <c r="K35" s="4">
        <v>2.9529999999999998</v>
      </c>
      <c r="L35" s="4">
        <v>5.1999999999999998E-2</v>
      </c>
      <c r="M35" s="4">
        <v>-5.8000000000000003E-2</v>
      </c>
      <c r="N35" s="4">
        <v>38699.269</v>
      </c>
      <c r="O35" s="4">
        <v>0.107</v>
      </c>
      <c r="P35" s="4">
        <v>5.0000000000000001E-3</v>
      </c>
      <c r="Q35" s="5">
        <v>1E-3</v>
      </c>
      <c r="R35" s="5">
        <v>0.18</v>
      </c>
      <c r="S35" s="9">
        <v>477.291</v>
      </c>
      <c r="T35" s="4">
        <v>1838.375</v>
      </c>
      <c r="U35" s="4">
        <v>1.575</v>
      </c>
      <c r="V35" s="4">
        <v>2.4119999999999999</v>
      </c>
      <c r="W35" s="4">
        <v>1.5920000000000001</v>
      </c>
      <c r="X35" s="4">
        <v>3.9980000000000002</v>
      </c>
      <c r="Y35" s="4">
        <v>9.5809999999999995</v>
      </c>
      <c r="Z35" s="8">
        <v>1161</v>
      </c>
      <c r="AA35" s="8">
        <v>5270</v>
      </c>
      <c r="AB35" s="4">
        <v>1311</v>
      </c>
      <c r="AC35" s="4">
        <v>0.06</v>
      </c>
      <c r="AD35" s="5">
        <v>1</v>
      </c>
      <c r="AE35" s="16">
        <v>0</v>
      </c>
      <c r="AF35" s="4">
        <v>0</v>
      </c>
      <c r="AG35" s="4">
        <v>1</v>
      </c>
      <c r="AH35" s="4">
        <v>3.06</v>
      </c>
      <c r="AI35" s="4">
        <v>3.0697100000000002</v>
      </c>
      <c r="AJ35" s="4">
        <v>5.5000000000000003E-4</v>
      </c>
      <c r="AK35" s="4">
        <v>1.9000000000000001E-4</v>
      </c>
      <c r="AL35" s="4">
        <v>0</v>
      </c>
      <c r="AM35" s="4">
        <v>0</v>
      </c>
      <c r="AN35" s="4">
        <v>0.29799999999999999</v>
      </c>
      <c r="AO35" s="5">
        <f t="shared" si="5"/>
        <v>0.22030360531309298</v>
      </c>
      <c r="AP35" s="8">
        <f t="shared" si="6"/>
        <v>150</v>
      </c>
      <c r="AQ35" s="6">
        <f t="shared" si="0"/>
        <v>0.80213903743315507</v>
      </c>
      <c r="AR35" s="5">
        <f t="shared" si="7"/>
        <v>0.24876660341555978</v>
      </c>
      <c r="AS35" s="5">
        <f t="shared" si="8"/>
        <v>0.50795800880460551</v>
      </c>
      <c r="AT35" s="5">
        <f t="shared" si="11"/>
        <v>-0.18309795151180086</v>
      </c>
      <c r="AU35" s="5">
        <f t="shared" si="10"/>
        <v>0.24194036170084052</v>
      </c>
      <c r="AV35" s="4">
        <f t="shared" si="12"/>
        <v>0</v>
      </c>
      <c r="AW35" s="4">
        <f t="shared" si="13"/>
        <v>5</v>
      </c>
      <c r="AX35" s="4">
        <f t="shared" si="14"/>
        <v>0</v>
      </c>
      <c r="AY35" s="4">
        <f t="shared" si="15"/>
        <v>0</v>
      </c>
      <c r="AZ35" s="4">
        <f t="shared" si="9"/>
        <v>0</v>
      </c>
    </row>
    <row r="36" spans="1:52" x14ac:dyDescent="0.3">
      <c r="A36" s="4" t="s">
        <v>52</v>
      </c>
      <c r="B36" s="4" t="s">
        <v>56</v>
      </c>
      <c r="C36" s="4" t="s">
        <v>54</v>
      </c>
      <c r="D36" s="4" t="s">
        <v>56</v>
      </c>
      <c r="E36" s="4" t="s">
        <v>55</v>
      </c>
      <c r="F36" s="4">
        <v>2</v>
      </c>
      <c r="G36" s="4">
        <v>0.04</v>
      </c>
      <c r="H36" s="4" t="b">
        <v>0</v>
      </c>
      <c r="I36" s="4" t="b">
        <v>0</v>
      </c>
      <c r="J36" s="4" t="b">
        <v>0</v>
      </c>
      <c r="K36" s="4">
        <v>2.9529999999999998</v>
      </c>
      <c r="L36" s="4">
        <v>5.1999999999999998E-2</v>
      </c>
      <c r="M36" s="4">
        <v>-5.8000000000000003E-2</v>
      </c>
      <c r="N36" s="4">
        <v>-7480.0290000000005</v>
      </c>
      <c r="O36" s="4">
        <v>-0.54900000000000004</v>
      </c>
      <c r="P36" s="4">
        <v>5.0000000000000001E-3</v>
      </c>
      <c r="Q36" s="5">
        <v>1E-3</v>
      </c>
      <c r="R36" s="5">
        <v>0.18</v>
      </c>
      <c r="S36" s="9">
        <v>492.06299999999999</v>
      </c>
      <c r="T36" s="4">
        <v>1838.375</v>
      </c>
      <c r="U36" s="4">
        <v>1.675</v>
      </c>
      <c r="V36" s="4">
        <v>2.3380000000000001</v>
      </c>
      <c r="W36" s="4">
        <v>1.61</v>
      </c>
      <c r="X36" s="4">
        <v>3.8879999999999999</v>
      </c>
      <c r="Y36" s="4">
        <v>9.5150000000000006</v>
      </c>
      <c r="Z36" s="8">
        <v>1206</v>
      </c>
      <c r="AA36" s="8">
        <v>5270</v>
      </c>
      <c r="AB36" s="4">
        <v>1354</v>
      </c>
      <c r="AC36" s="4">
        <v>0.06</v>
      </c>
      <c r="AD36" s="5">
        <v>0.96499999999999997</v>
      </c>
      <c r="AE36" s="16">
        <v>0</v>
      </c>
      <c r="AF36" s="4">
        <v>0</v>
      </c>
      <c r="AG36" s="4">
        <v>0.96499999999999997</v>
      </c>
      <c r="AH36" s="4">
        <v>3.06</v>
      </c>
      <c r="AI36" s="4">
        <v>3.0720000000000001</v>
      </c>
      <c r="AJ36" s="4">
        <v>1.6000000000000001E-4</v>
      </c>
      <c r="AK36" s="4">
        <v>2.4000000000000001E-4</v>
      </c>
      <c r="AL36" s="4">
        <v>0</v>
      </c>
      <c r="AM36" s="4">
        <v>0</v>
      </c>
      <c r="AN36" s="4">
        <v>0.29499999999999998</v>
      </c>
      <c r="AO36" s="5">
        <f t="shared" si="5"/>
        <v>0.22884250474383303</v>
      </c>
      <c r="AP36" s="8">
        <f t="shared" si="6"/>
        <v>148</v>
      </c>
      <c r="AQ36" s="6">
        <f t="shared" si="0"/>
        <v>0.79144385026737973</v>
      </c>
      <c r="AR36" s="5">
        <f t="shared" si="7"/>
        <v>0.25692599620493356</v>
      </c>
      <c r="AS36" s="5">
        <f t="shared" si="8"/>
        <v>0.50118523535387738</v>
      </c>
      <c r="AT36" s="5">
        <f t="shared" si="11"/>
        <v>-0.13624998604129163</v>
      </c>
      <c r="AU36" s="5">
        <f t="shared" si="10"/>
        <v>-0.13539128080151647</v>
      </c>
      <c r="AV36" s="4">
        <f t="shared" si="12"/>
        <v>0</v>
      </c>
      <c r="AW36" s="4">
        <f t="shared" si="13"/>
        <v>5</v>
      </c>
      <c r="AX36" s="4">
        <f t="shared" si="14"/>
        <v>0</v>
      </c>
      <c r="AY36" s="4">
        <f t="shared" si="15"/>
        <v>0</v>
      </c>
      <c r="AZ36" s="4">
        <f t="shared" si="9"/>
        <v>0</v>
      </c>
    </row>
    <row r="37" spans="1:52" x14ac:dyDescent="0.3">
      <c r="A37" s="4" t="s">
        <v>52</v>
      </c>
      <c r="B37" s="4" t="s">
        <v>56</v>
      </c>
      <c r="C37" s="4" t="s">
        <v>54</v>
      </c>
      <c r="D37" s="4" t="s">
        <v>56</v>
      </c>
      <c r="E37" s="4" t="s">
        <v>55</v>
      </c>
      <c r="F37" s="4">
        <v>2</v>
      </c>
      <c r="G37" s="4">
        <v>0.04</v>
      </c>
      <c r="H37" s="4" t="b">
        <v>0</v>
      </c>
      <c r="I37" s="4" t="b">
        <v>0</v>
      </c>
      <c r="J37" s="4" t="b">
        <v>0</v>
      </c>
      <c r="K37" s="4">
        <v>2.9529999999999998</v>
      </c>
      <c r="L37" s="4">
        <v>5.1999999999999998E-2</v>
      </c>
      <c r="M37" s="4">
        <v>-5.8000000000000003E-2</v>
      </c>
      <c r="N37" s="4">
        <v>-59759.771000000001</v>
      </c>
      <c r="O37" s="4">
        <v>-6.8000000000000005E-2</v>
      </c>
      <c r="P37" s="4">
        <v>5.0000000000000001E-3</v>
      </c>
      <c r="Q37" s="5">
        <v>1E-3</v>
      </c>
      <c r="R37" s="5">
        <v>0.18</v>
      </c>
      <c r="S37" s="9">
        <v>508.08499999999998</v>
      </c>
      <c r="T37" s="4">
        <v>1838.375</v>
      </c>
      <c r="U37" s="4">
        <v>1.4970000000000001</v>
      </c>
      <c r="V37" s="4">
        <v>2.302</v>
      </c>
      <c r="W37" s="4">
        <v>1.6519999999999999</v>
      </c>
      <c r="X37" s="4">
        <v>3.72</v>
      </c>
      <c r="Y37" s="4">
        <v>9.1739999999999995</v>
      </c>
      <c r="Z37" s="8">
        <v>1255</v>
      </c>
      <c r="AA37" s="8">
        <v>5270</v>
      </c>
      <c r="AB37" s="4">
        <v>1398</v>
      </c>
      <c r="AC37" s="4">
        <v>0.06</v>
      </c>
      <c r="AD37" s="5">
        <v>0.96</v>
      </c>
      <c r="AE37" s="16">
        <v>0</v>
      </c>
      <c r="AF37" s="4">
        <v>0</v>
      </c>
      <c r="AG37" s="4">
        <v>0.96</v>
      </c>
      <c r="AH37" s="4">
        <v>3.02</v>
      </c>
      <c r="AI37" s="4">
        <v>3.0541700000000001</v>
      </c>
      <c r="AJ37" s="4">
        <v>-1.1100000000000001E-3</v>
      </c>
      <c r="AK37" s="4">
        <v>-2.9999999999999997E-4</v>
      </c>
      <c r="AL37" s="4">
        <v>0</v>
      </c>
      <c r="AM37" s="4">
        <v>0</v>
      </c>
      <c r="AN37" s="4">
        <v>0.189</v>
      </c>
      <c r="AO37" s="5">
        <f t="shared" si="5"/>
        <v>0.23814041745730549</v>
      </c>
      <c r="AP37" s="8">
        <f t="shared" si="6"/>
        <v>143</v>
      </c>
      <c r="AQ37" s="6">
        <f t="shared" si="0"/>
        <v>0.76470588235294112</v>
      </c>
      <c r="AR37" s="5">
        <f t="shared" si="7"/>
        <v>0.2652751423149905</v>
      </c>
      <c r="AS37" s="5">
        <f t="shared" si="8"/>
        <v>0.48425330172705722</v>
      </c>
      <c r="AT37" s="5">
        <f t="shared" si="11"/>
        <v>-0.15754292742309622</v>
      </c>
      <c r="AU37" s="5">
        <f t="shared" si="10"/>
        <v>-0.31207090250905023</v>
      </c>
      <c r="AV37" s="4">
        <f t="shared" si="12"/>
        <v>0</v>
      </c>
      <c r="AW37" s="4">
        <f t="shared" si="13"/>
        <v>5</v>
      </c>
      <c r="AX37" s="4">
        <f t="shared" si="14"/>
        <v>0</v>
      </c>
      <c r="AY37" s="4">
        <f t="shared" si="15"/>
        <v>0</v>
      </c>
      <c r="AZ37" s="4">
        <f t="shared" si="9"/>
        <v>0</v>
      </c>
    </row>
    <row r="38" spans="1:52" x14ac:dyDescent="0.3">
      <c r="A38" s="4" t="s">
        <v>52</v>
      </c>
      <c r="B38" s="4" t="s">
        <v>56</v>
      </c>
      <c r="C38" s="4" t="s">
        <v>54</v>
      </c>
      <c r="D38" s="4" t="s">
        <v>56</v>
      </c>
      <c r="E38" s="4" t="s">
        <v>55</v>
      </c>
      <c r="F38" s="4">
        <v>2</v>
      </c>
      <c r="G38" s="4">
        <v>0.04</v>
      </c>
      <c r="H38" s="4" t="b">
        <v>0</v>
      </c>
      <c r="I38" s="4" t="b">
        <v>0</v>
      </c>
      <c r="J38" s="4" t="b">
        <v>0</v>
      </c>
      <c r="K38" s="4">
        <v>2.9529999999999998</v>
      </c>
      <c r="L38" s="4">
        <v>5.1999999999999998E-2</v>
      </c>
      <c r="M38" s="4">
        <v>-5.8000000000000003E-2</v>
      </c>
      <c r="N38" s="4">
        <v>-20973.359</v>
      </c>
      <c r="O38" s="4">
        <v>-0.191</v>
      </c>
      <c r="P38" s="4">
        <v>5.0000000000000001E-3</v>
      </c>
      <c r="Q38" s="5">
        <v>1E-3</v>
      </c>
      <c r="R38" s="5">
        <v>0.18</v>
      </c>
      <c r="S38" s="9">
        <v>521.38300000000004</v>
      </c>
      <c r="T38" s="4">
        <v>1838.375</v>
      </c>
      <c r="U38" s="4">
        <v>1.6890000000000001</v>
      </c>
      <c r="V38" s="4">
        <v>2.31</v>
      </c>
      <c r="W38" s="4">
        <v>1.6080000000000001</v>
      </c>
      <c r="X38" s="4">
        <v>3.835</v>
      </c>
      <c r="Y38" s="4">
        <v>9.4459999999999997</v>
      </c>
      <c r="Z38" s="8">
        <v>1295</v>
      </c>
      <c r="AA38" s="8">
        <v>5270</v>
      </c>
      <c r="AB38" s="4">
        <v>1444</v>
      </c>
      <c r="AC38" s="4">
        <v>0.06</v>
      </c>
      <c r="AD38" s="5">
        <v>0.94499999999999995</v>
      </c>
      <c r="AE38" s="16">
        <v>0</v>
      </c>
      <c r="AF38" s="4">
        <v>0</v>
      </c>
      <c r="AG38" s="4">
        <v>0.94499999999999995</v>
      </c>
      <c r="AH38" s="4">
        <v>3.04</v>
      </c>
      <c r="AI38" s="4">
        <v>3.0499200000000002</v>
      </c>
      <c r="AJ38" s="4">
        <v>-3.2000000000000003E-4</v>
      </c>
      <c r="AK38" s="4">
        <v>-2.2000000000000001E-4</v>
      </c>
      <c r="AL38" s="4">
        <v>0</v>
      </c>
      <c r="AM38" s="4">
        <v>0</v>
      </c>
      <c r="AN38" s="4">
        <v>0.185</v>
      </c>
      <c r="AO38" s="5">
        <f t="shared" si="5"/>
        <v>0.24573055028462998</v>
      </c>
      <c r="AP38" s="8">
        <f t="shared" si="6"/>
        <v>149</v>
      </c>
      <c r="AQ38" s="6">
        <f t="shared" si="0"/>
        <v>0.79679144385026734</v>
      </c>
      <c r="AR38" s="5">
        <f t="shared" si="7"/>
        <v>0.27400379506641365</v>
      </c>
      <c r="AS38" s="5">
        <f t="shared" si="8"/>
        <v>0.50457162207924144</v>
      </c>
      <c r="AT38" s="5">
        <f t="shared" si="11"/>
        <v>-0.11169234147345948</v>
      </c>
      <c r="AU38" s="5">
        <f t="shared" si="10"/>
        <v>0.45119566852158022</v>
      </c>
      <c r="AV38" s="4">
        <f t="shared" si="12"/>
        <v>0</v>
      </c>
      <c r="AW38" s="4">
        <f t="shared" si="13"/>
        <v>5</v>
      </c>
      <c r="AX38" s="4">
        <f t="shared" si="14"/>
        <v>0</v>
      </c>
      <c r="AY38" s="4">
        <f t="shared" si="15"/>
        <v>0</v>
      </c>
      <c r="AZ38" s="4">
        <f t="shared" si="9"/>
        <v>0</v>
      </c>
    </row>
    <row r="39" spans="1:52" x14ac:dyDescent="0.3">
      <c r="A39" s="4" t="s">
        <v>52</v>
      </c>
      <c r="B39" s="4" t="s">
        <v>56</v>
      </c>
      <c r="C39" s="4" t="s">
        <v>54</v>
      </c>
      <c r="D39" s="4" t="s">
        <v>57</v>
      </c>
      <c r="E39" s="4" t="s">
        <v>55</v>
      </c>
      <c r="F39" s="4">
        <v>2</v>
      </c>
      <c r="G39" s="4">
        <v>0.04</v>
      </c>
      <c r="H39" s="4" t="b">
        <v>0</v>
      </c>
      <c r="I39" s="4" t="b">
        <v>0</v>
      </c>
      <c r="J39" s="4" t="b">
        <v>0</v>
      </c>
      <c r="K39" s="4">
        <v>2.9529999999999998</v>
      </c>
      <c r="L39" s="4">
        <v>5.1999999999999998E-2</v>
      </c>
      <c r="M39" s="4">
        <v>-5.8000000000000003E-2</v>
      </c>
      <c r="N39" s="4">
        <v>0</v>
      </c>
      <c r="O39" s="4">
        <v>0</v>
      </c>
      <c r="P39" s="4">
        <v>5.0000000000000001E-3</v>
      </c>
      <c r="Q39" s="5">
        <v>1E-3</v>
      </c>
      <c r="R39" s="5">
        <v>0.18</v>
      </c>
      <c r="S39" s="9">
        <v>535.69000000000005</v>
      </c>
      <c r="T39" s="4">
        <v>1838.375</v>
      </c>
      <c r="U39" s="4">
        <v>1.667</v>
      </c>
      <c r="V39" s="4">
        <v>2.2810000000000001</v>
      </c>
      <c r="W39" s="4">
        <v>1.484</v>
      </c>
      <c r="X39" s="4">
        <v>4.0540000000000003</v>
      </c>
      <c r="Y39" s="4">
        <v>9.4890000000000008</v>
      </c>
      <c r="Z39" s="8">
        <v>1337</v>
      </c>
      <c r="AA39" s="8">
        <v>5270</v>
      </c>
      <c r="AB39" s="4">
        <v>1484</v>
      </c>
      <c r="AC39" s="4">
        <v>0.06</v>
      </c>
      <c r="AD39" s="5">
        <v>0.94499999999999995</v>
      </c>
      <c r="AE39" s="16">
        <v>0.08</v>
      </c>
      <c r="AF39" s="4">
        <v>0</v>
      </c>
      <c r="AG39" s="4">
        <v>1</v>
      </c>
      <c r="AH39" s="4">
        <v>3.02</v>
      </c>
      <c r="AI39" s="4">
        <v>3.02942</v>
      </c>
      <c r="AJ39" s="4">
        <v>-1.4300000000000001E-3</v>
      </c>
      <c r="AK39" s="4">
        <v>-4.2000000000000002E-4</v>
      </c>
      <c r="AL39" s="4">
        <v>0</v>
      </c>
      <c r="AM39" s="4">
        <v>0</v>
      </c>
      <c r="AN39" s="4">
        <v>0.17100000000000001</v>
      </c>
      <c r="AO39" s="5">
        <f t="shared" si="5"/>
        <v>0.2537001897533207</v>
      </c>
      <c r="AP39" s="8">
        <f t="shared" si="6"/>
        <v>147</v>
      </c>
      <c r="AQ39" s="6">
        <f t="shared" si="0"/>
        <v>0.78609625668449201</v>
      </c>
      <c r="AR39" s="5">
        <f t="shared" si="7"/>
        <v>0.28159392789373816</v>
      </c>
      <c r="AS39" s="5">
        <f t="shared" si="8"/>
        <v>0.49779884862851337</v>
      </c>
      <c r="AT39" s="5">
        <f t="shared" si="11"/>
        <v>2.1176427312055608E-2</v>
      </c>
      <c r="AU39" s="5">
        <f t="shared" si="10"/>
        <v>-0.139791710351576</v>
      </c>
      <c r="AV39" s="4">
        <f t="shared" si="12"/>
        <v>0</v>
      </c>
      <c r="AW39" s="4">
        <f t="shared" si="13"/>
        <v>5</v>
      </c>
      <c r="AX39" s="4">
        <f t="shared" si="14"/>
        <v>0</v>
      </c>
      <c r="AY39" s="4">
        <f t="shared" si="15"/>
        <v>0</v>
      </c>
      <c r="AZ39" s="4">
        <f t="shared" si="9"/>
        <v>0</v>
      </c>
    </row>
    <row r="40" spans="1:52" x14ac:dyDescent="0.3">
      <c r="A40" s="4" t="s">
        <v>52</v>
      </c>
      <c r="B40" s="4" t="s">
        <v>56</v>
      </c>
      <c r="C40" s="4" t="s">
        <v>54</v>
      </c>
      <c r="D40" s="4" t="s">
        <v>57</v>
      </c>
      <c r="E40" s="4" t="s">
        <v>55</v>
      </c>
      <c r="F40" s="4">
        <v>2</v>
      </c>
      <c r="G40" s="4">
        <v>0.04</v>
      </c>
      <c r="H40" s="4" t="b">
        <v>0</v>
      </c>
      <c r="I40" s="4" t="b">
        <v>0</v>
      </c>
      <c r="J40" s="4" t="b">
        <v>0</v>
      </c>
      <c r="K40" s="4">
        <v>2.9529999999999998</v>
      </c>
      <c r="L40" s="4">
        <v>5.1999999999999998E-2</v>
      </c>
      <c r="M40" s="4">
        <v>-5.8000000000000003E-2</v>
      </c>
      <c r="N40" s="4">
        <v>0</v>
      </c>
      <c r="O40" s="4">
        <v>0</v>
      </c>
      <c r="P40" s="4">
        <v>5.0000000000000001E-3</v>
      </c>
      <c r="Q40" s="5">
        <v>1E-3</v>
      </c>
      <c r="R40" s="5">
        <v>0.18</v>
      </c>
      <c r="S40" s="9">
        <v>547.85400000000004</v>
      </c>
      <c r="T40" s="4">
        <v>1838.375</v>
      </c>
      <c r="U40" s="4">
        <v>1.5449999999999999</v>
      </c>
      <c r="V40" s="4">
        <v>2.2370000000000001</v>
      </c>
      <c r="W40" s="4">
        <v>1.609</v>
      </c>
      <c r="X40" s="4">
        <v>3.8519999999999999</v>
      </c>
      <c r="Y40" s="4">
        <v>9.2469999999999999</v>
      </c>
      <c r="Z40" s="8">
        <v>1374</v>
      </c>
      <c r="AA40" s="8">
        <v>5270</v>
      </c>
      <c r="AB40" s="4">
        <v>1526</v>
      </c>
      <c r="AC40" s="4">
        <v>0.06</v>
      </c>
      <c r="AD40" s="5">
        <v>0.94499999999999995</v>
      </c>
      <c r="AE40" s="16">
        <v>0.08</v>
      </c>
      <c r="AF40" s="4">
        <v>0</v>
      </c>
      <c r="AG40" s="4">
        <v>1</v>
      </c>
      <c r="AH40" s="4">
        <v>3</v>
      </c>
      <c r="AI40" s="4">
        <v>3.01857</v>
      </c>
      <c r="AJ40" s="4">
        <v>-8.8999999999999995E-4</v>
      </c>
      <c r="AK40" s="4">
        <v>-7.2000000000000005E-4</v>
      </c>
      <c r="AL40" s="4">
        <v>0</v>
      </c>
      <c r="AM40" s="4">
        <v>0</v>
      </c>
      <c r="AN40" s="4">
        <v>0.36399999999999999</v>
      </c>
      <c r="AO40" s="5">
        <f t="shared" si="5"/>
        <v>0.26072106261859584</v>
      </c>
      <c r="AP40" s="8">
        <f t="shared" si="6"/>
        <v>152</v>
      </c>
      <c r="AQ40" s="6">
        <f t="shared" si="0"/>
        <v>0.81283422459893051</v>
      </c>
      <c r="AR40" s="5">
        <f t="shared" si="7"/>
        <v>0.28956356736242883</v>
      </c>
      <c r="AS40" s="5">
        <f t="shared" si="8"/>
        <v>0.51473078225533353</v>
      </c>
      <c r="AT40" s="5">
        <f t="shared" si="11"/>
        <v>5.4998154379977036E-2</v>
      </c>
      <c r="AU40" s="5">
        <f t="shared" si="10"/>
        <v>0.41104899704044767</v>
      </c>
      <c r="AV40" s="4">
        <f t="shared" si="12"/>
        <v>0</v>
      </c>
      <c r="AW40" s="4">
        <f t="shared" si="13"/>
        <v>5</v>
      </c>
      <c r="AX40" s="4">
        <f t="shared" si="14"/>
        <v>0</v>
      </c>
      <c r="AY40" s="4">
        <f t="shared" si="15"/>
        <v>0</v>
      </c>
      <c r="AZ40" s="4">
        <f t="shared" si="9"/>
        <v>0</v>
      </c>
    </row>
    <row r="41" spans="1:52" x14ac:dyDescent="0.3">
      <c r="A41" s="4" t="s">
        <v>52</v>
      </c>
      <c r="B41" s="4" t="s">
        <v>56</v>
      </c>
      <c r="C41" s="4" t="s">
        <v>54</v>
      </c>
      <c r="D41" s="4" t="s">
        <v>56</v>
      </c>
      <c r="E41" s="4" t="s">
        <v>55</v>
      </c>
      <c r="F41" s="4">
        <v>2</v>
      </c>
      <c r="G41" s="4">
        <v>0.04</v>
      </c>
      <c r="H41" s="4" t="b">
        <v>0</v>
      </c>
      <c r="I41" s="4" t="b">
        <v>0</v>
      </c>
      <c r="J41" s="4" t="b">
        <v>0</v>
      </c>
      <c r="K41" s="4">
        <v>2.9529999999999998</v>
      </c>
      <c r="L41" s="4">
        <v>5.1999999999999998E-2</v>
      </c>
      <c r="M41" s="4">
        <v>-5.8000000000000003E-2</v>
      </c>
      <c r="N41" s="4">
        <v>-46455.580999999998</v>
      </c>
      <c r="O41" s="4">
        <v>-8.4000000000000005E-2</v>
      </c>
      <c r="P41" s="4">
        <v>5.0000000000000001E-3</v>
      </c>
      <c r="Q41" s="5">
        <v>1E-3</v>
      </c>
      <c r="R41" s="5">
        <v>0.18</v>
      </c>
      <c r="S41" s="9">
        <v>561.40499999999997</v>
      </c>
      <c r="T41" s="4">
        <v>1838.375</v>
      </c>
      <c r="U41" s="4">
        <v>1.5720000000000001</v>
      </c>
      <c r="V41" s="4">
        <v>3.9350000000000001</v>
      </c>
      <c r="W41" s="4">
        <v>1.579</v>
      </c>
      <c r="X41" s="4">
        <v>3.8140000000000001</v>
      </c>
      <c r="Y41" s="4">
        <v>10.903</v>
      </c>
      <c r="Z41" s="8">
        <v>1414</v>
      </c>
      <c r="AA41" s="8">
        <v>5270</v>
      </c>
      <c r="AB41" s="4">
        <v>1562</v>
      </c>
      <c r="AC41" s="4">
        <v>0.06</v>
      </c>
      <c r="AD41" s="5">
        <v>0.94</v>
      </c>
      <c r="AE41" s="16">
        <v>0</v>
      </c>
      <c r="AF41" s="4">
        <v>0</v>
      </c>
      <c r="AG41" s="4">
        <v>0.94</v>
      </c>
      <c r="AH41" s="4">
        <v>3.04</v>
      </c>
      <c r="AI41" s="4">
        <v>2.9996100000000001</v>
      </c>
      <c r="AJ41" s="4">
        <v>-1.4E-3</v>
      </c>
      <c r="AK41" s="4">
        <v>-1.0399999999999999E-3</v>
      </c>
      <c r="AL41" s="4">
        <v>0</v>
      </c>
      <c r="AM41" s="4">
        <v>0</v>
      </c>
      <c r="AN41" s="4">
        <v>0.35699999999999998</v>
      </c>
      <c r="AO41" s="5">
        <f t="shared" si="5"/>
        <v>0.2683111954459203</v>
      </c>
      <c r="AP41" s="8">
        <f t="shared" si="6"/>
        <v>148</v>
      </c>
      <c r="AQ41" s="6">
        <f t="shared" si="0"/>
        <v>0.79144385026737973</v>
      </c>
      <c r="AR41" s="5">
        <f t="shared" si="7"/>
        <v>0.29639468690702087</v>
      </c>
      <c r="AS41" s="5">
        <f t="shared" si="8"/>
        <v>0.50118523535387738</v>
      </c>
      <c r="AT41" s="5">
        <f t="shared" si="11"/>
        <v>2.3040177051976585E-2</v>
      </c>
      <c r="AU41" s="5">
        <f t="shared" si="10"/>
        <v>-0.29518116744151873</v>
      </c>
      <c r="AV41" s="4">
        <f t="shared" si="12"/>
        <v>0</v>
      </c>
      <c r="AW41" s="4">
        <f t="shared" si="13"/>
        <v>5</v>
      </c>
      <c r="AX41" s="4">
        <f t="shared" si="14"/>
        <v>0</v>
      </c>
      <c r="AY41" s="4">
        <f t="shared" si="15"/>
        <v>0</v>
      </c>
      <c r="AZ41" s="4">
        <f t="shared" si="9"/>
        <v>0</v>
      </c>
    </row>
    <row r="42" spans="1:52" x14ac:dyDescent="0.3">
      <c r="A42" s="4" t="s">
        <v>52</v>
      </c>
      <c r="B42" s="4" t="s">
        <v>56</v>
      </c>
      <c r="C42" s="4" t="s">
        <v>54</v>
      </c>
      <c r="D42" s="4" t="s">
        <v>56</v>
      </c>
      <c r="E42" s="4" t="s">
        <v>55</v>
      </c>
      <c r="F42" s="4">
        <v>2</v>
      </c>
      <c r="G42" s="4">
        <v>0.04</v>
      </c>
      <c r="H42" s="4" t="b">
        <v>0</v>
      </c>
      <c r="I42" s="4" t="b">
        <v>0</v>
      </c>
      <c r="J42" s="4" t="b">
        <v>0</v>
      </c>
      <c r="K42" s="4">
        <v>2.9529999999999998</v>
      </c>
      <c r="L42" s="4">
        <v>5.1999999999999998E-2</v>
      </c>
      <c r="M42" s="4">
        <v>-5.8000000000000003E-2</v>
      </c>
      <c r="N42" s="4">
        <v>11726.901</v>
      </c>
      <c r="O42" s="4">
        <v>0.32900000000000001</v>
      </c>
      <c r="P42" s="4">
        <v>5.0000000000000001E-3</v>
      </c>
      <c r="Q42" s="5">
        <v>1E-3</v>
      </c>
      <c r="R42" s="5">
        <v>0.18</v>
      </c>
      <c r="S42" s="9">
        <v>576.49400000000003</v>
      </c>
      <c r="T42" s="4">
        <v>1838.375</v>
      </c>
      <c r="U42" s="4">
        <v>1.9590000000000001</v>
      </c>
      <c r="V42" s="4">
        <v>2.2290000000000001</v>
      </c>
      <c r="W42" s="4">
        <v>1.6839999999999999</v>
      </c>
      <c r="X42" s="4">
        <v>3.8530000000000002</v>
      </c>
      <c r="Y42" s="4">
        <v>9.7289999999999992</v>
      </c>
      <c r="Z42" s="8">
        <v>1460</v>
      </c>
      <c r="AA42" s="8">
        <v>5270</v>
      </c>
      <c r="AB42" s="4">
        <v>1607</v>
      </c>
      <c r="AC42" s="4">
        <v>0.06</v>
      </c>
      <c r="AD42" s="5">
        <v>0.96499999999999997</v>
      </c>
      <c r="AE42" s="16">
        <v>0</v>
      </c>
      <c r="AF42" s="4">
        <v>0</v>
      </c>
      <c r="AG42" s="4">
        <v>0.96499999999999997</v>
      </c>
      <c r="AH42" s="4">
        <v>2.98</v>
      </c>
      <c r="AI42" s="4">
        <v>2.9967000000000001</v>
      </c>
      <c r="AJ42" s="4">
        <v>-1.9000000000000001E-4</v>
      </c>
      <c r="AK42" s="4">
        <v>-8.4000000000000003E-4</v>
      </c>
      <c r="AL42" s="4">
        <v>0</v>
      </c>
      <c r="AM42" s="4">
        <v>0</v>
      </c>
      <c r="AN42" s="4">
        <v>0.24399999999999999</v>
      </c>
      <c r="AO42" s="5">
        <f t="shared" si="5"/>
        <v>0.27703984819734345</v>
      </c>
      <c r="AP42" s="8">
        <f t="shared" si="6"/>
        <v>147</v>
      </c>
      <c r="AQ42" s="6">
        <f t="shared" si="0"/>
        <v>0.78609625668449201</v>
      </c>
      <c r="AR42" s="5">
        <f t="shared" si="7"/>
        <v>0.30493358633776091</v>
      </c>
      <c r="AS42" s="5">
        <f t="shared" si="8"/>
        <v>0.49779884862851337</v>
      </c>
      <c r="AT42" s="5">
        <f t="shared" si="11"/>
        <v>7.2199668707607356E-2</v>
      </c>
      <c r="AU42" s="5">
        <f t="shared" si="10"/>
        <v>-6.6273444230896442E-2</v>
      </c>
      <c r="AV42" s="4">
        <f t="shared" si="12"/>
        <v>0</v>
      </c>
      <c r="AW42" s="4">
        <f t="shared" si="13"/>
        <v>5</v>
      </c>
      <c r="AX42" s="4">
        <f t="shared" si="14"/>
        <v>0</v>
      </c>
      <c r="AY42" s="4">
        <f t="shared" si="15"/>
        <v>0</v>
      </c>
      <c r="AZ42" s="4">
        <f t="shared" si="9"/>
        <v>0</v>
      </c>
    </row>
    <row r="43" spans="1:52" x14ac:dyDescent="0.3">
      <c r="A43" s="4" t="s">
        <v>52</v>
      </c>
      <c r="B43" s="4" t="s">
        <v>56</v>
      </c>
      <c r="C43" s="4" t="s">
        <v>54</v>
      </c>
      <c r="D43" s="4" t="s">
        <v>56</v>
      </c>
      <c r="E43" s="4" t="s">
        <v>55</v>
      </c>
      <c r="F43" s="4">
        <v>2</v>
      </c>
      <c r="G43" s="4">
        <v>0.04</v>
      </c>
      <c r="H43" s="4" t="b">
        <v>0</v>
      </c>
      <c r="I43" s="4" t="b">
        <v>0</v>
      </c>
      <c r="J43" s="4" t="b">
        <v>0</v>
      </c>
      <c r="K43" s="4">
        <v>2.9529999999999998</v>
      </c>
      <c r="L43" s="4">
        <v>5.1999999999999998E-2</v>
      </c>
      <c r="M43" s="4">
        <v>-5.8000000000000003E-2</v>
      </c>
      <c r="N43" s="4">
        <v>-10606.66</v>
      </c>
      <c r="O43" s="4">
        <v>-0.35899999999999999</v>
      </c>
      <c r="P43" s="4">
        <v>5.0000000000000001E-3</v>
      </c>
      <c r="Q43" s="5">
        <v>1E-3</v>
      </c>
      <c r="R43" s="5">
        <v>0.18</v>
      </c>
      <c r="S43" s="9">
        <v>590.90200000000004</v>
      </c>
      <c r="T43" s="4">
        <v>1838.375</v>
      </c>
      <c r="U43" s="4">
        <v>1.7450000000000001</v>
      </c>
      <c r="V43" s="4">
        <v>2.2679999999999998</v>
      </c>
      <c r="W43" s="4">
        <v>1.4670000000000001</v>
      </c>
      <c r="X43" s="4">
        <v>3.7850000000000001</v>
      </c>
      <c r="Y43" s="4">
        <v>9.2690000000000001</v>
      </c>
      <c r="Z43" s="8">
        <v>1503</v>
      </c>
      <c r="AA43" s="8">
        <v>5270</v>
      </c>
      <c r="AB43" s="4">
        <v>1648</v>
      </c>
      <c r="AC43" s="4">
        <v>0.06</v>
      </c>
      <c r="AD43" s="5">
        <v>0.94</v>
      </c>
      <c r="AE43" s="16">
        <v>0</v>
      </c>
      <c r="AF43" s="4">
        <v>0</v>
      </c>
      <c r="AG43" s="4">
        <v>0.94</v>
      </c>
      <c r="AH43" s="4">
        <v>3</v>
      </c>
      <c r="AI43" s="4">
        <v>2.9919699999999998</v>
      </c>
      <c r="AJ43" s="4">
        <v>-3.3E-4</v>
      </c>
      <c r="AK43" s="4">
        <v>-8.3000000000000001E-4</v>
      </c>
      <c r="AL43" s="4">
        <v>0</v>
      </c>
      <c r="AM43" s="4">
        <v>0</v>
      </c>
      <c r="AN43" s="4">
        <v>0.22500000000000001</v>
      </c>
      <c r="AO43" s="5">
        <f t="shared" si="5"/>
        <v>0.28519924098671728</v>
      </c>
      <c r="AP43" s="8">
        <f t="shared" si="6"/>
        <v>145</v>
      </c>
      <c r="AQ43" s="6">
        <f t="shared" si="0"/>
        <v>0.77540106951871657</v>
      </c>
      <c r="AR43" s="5">
        <f t="shared" si="7"/>
        <v>0.31271347248576847</v>
      </c>
      <c r="AS43" s="5">
        <f t="shared" si="8"/>
        <v>0.49102607517778529</v>
      </c>
      <c r="AT43" s="5">
        <f t="shared" si="11"/>
        <v>-4.5801819244348875E-2</v>
      </c>
      <c r="AU43" s="5">
        <f t="shared" si="10"/>
        <v>-0.13881177123820085</v>
      </c>
      <c r="AV43" s="4">
        <f t="shared" si="12"/>
        <v>0</v>
      </c>
      <c r="AW43" s="4">
        <f t="shared" si="13"/>
        <v>5</v>
      </c>
      <c r="AX43" s="4">
        <f t="shared" si="14"/>
        <v>0</v>
      </c>
      <c r="AY43" s="4">
        <f t="shared" si="15"/>
        <v>0</v>
      </c>
      <c r="AZ43" s="4">
        <f t="shared" si="9"/>
        <v>0</v>
      </c>
    </row>
    <row r="44" spans="1:52" x14ac:dyDescent="0.3">
      <c r="A44" s="4" t="s">
        <v>52</v>
      </c>
      <c r="B44" s="4" t="s">
        <v>56</v>
      </c>
      <c r="C44" s="4" t="s">
        <v>54</v>
      </c>
      <c r="D44" s="4" t="s">
        <v>56</v>
      </c>
      <c r="E44" s="4" t="s">
        <v>55</v>
      </c>
      <c r="F44" s="4">
        <v>2</v>
      </c>
      <c r="G44" s="4">
        <v>0.04</v>
      </c>
      <c r="H44" s="4" t="b">
        <v>0</v>
      </c>
      <c r="I44" s="4" t="b">
        <v>0</v>
      </c>
      <c r="J44" s="4" t="b">
        <v>0</v>
      </c>
      <c r="K44" s="4">
        <v>2.9529999999999998</v>
      </c>
      <c r="L44" s="4">
        <v>5.1999999999999998E-2</v>
      </c>
      <c r="M44" s="4">
        <v>-5.8000000000000003E-2</v>
      </c>
      <c r="N44" s="4">
        <v>-26265.723999999998</v>
      </c>
      <c r="O44" s="4">
        <v>-0.14299999999999999</v>
      </c>
      <c r="P44" s="4">
        <v>5.0000000000000001E-3</v>
      </c>
      <c r="Q44" s="5">
        <v>1E-3</v>
      </c>
      <c r="R44" s="5">
        <v>0.18</v>
      </c>
      <c r="S44" s="9">
        <v>604.27700000000004</v>
      </c>
      <c r="T44" s="4">
        <v>1838.375</v>
      </c>
      <c r="U44" s="4">
        <v>1.7350000000000001</v>
      </c>
      <c r="V44" s="4">
        <v>2.31</v>
      </c>
      <c r="W44" s="4">
        <v>1.45</v>
      </c>
      <c r="X44" s="4">
        <v>3.778</v>
      </c>
      <c r="Y44" s="4">
        <v>9.2759999999999998</v>
      </c>
      <c r="Z44" s="8">
        <v>1542</v>
      </c>
      <c r="AA44" s="8">
        <v>5270</v>
      </c>
      <c r="AB44" s="4">
        <v>1689</v>
      </c>
      <c r="AC44" s="4">
        <v>0.06</v>
      </c>
      <c r="AD44" s="5">
        <v>0.93</v>
      </c>
      <c r="AE44" s="16">
        <v>0</v>
      </c>
      <c r="AF44" s="4">
        <v>0</v>
      </c>
      <c r="AG44" s="4">
        <v>0.93</v>
      </c>
      <c r="AH44" s="4">
        <v>2.96</v>
      </c>
      <c r="AI44" s="4">
        <v>2.9889199999999998</v>
      </c>
      <c r="AJ44" s="4">
        <v>-2.3000000000000001E-4</v>
      </c>
      <c r="AK44" s="4">
        <v>-5.9000000000000003E-4</v>
      </c>
      <c r="AL44" s="4">
        <v>0</v>
      </c>
      <c r="AM44" s="4">
        <v>0</v>
      </c>
      <c r="AN44" s="4">
        <v>0.20399999999999999</v>
      </c>
      <c r="AO44" s="5">
        <f t="shared" si="5"/>
        <v>0.29259962049335864</v>
      </c>
      <c r="AP44" s="8">
        <f t="shared" si="6"/>
        <v>147</v>
      </c>
      <c r="AQ44" s="6">
        <f t="shared" si="0"/>
        <v>0.78609625668449201</v>
      </c>
      <c r="AR44" s="5">
        <f t="shared" si="7"/>
        <v>0.32049335863377609</v>
      </c>
      <c r="AS44" s="5">
        <f t="shared" si="8"/>
        <v>0.49779884862851337</v>
      </c>
      <c r="AT44" s="5">
        <f t="shared" si="11"/>
        <v>1.2063064882041095E-2</v>
      </c>
      <c r="AU44" s="5">
        <f t="shared" si="10"/>
        <v>0.14953271028037382</v>
      </c>
      <c r="AV44" s="4">
        <f t="shared" si="12"/>
        <v>0</v>
      </c>
      <c r="AW44" s="4">
        <f t="shared" si="13"/>
        <v>5</v>
      </c>
      <c r="AX44" s="4">
        <f t="shared" si="14"/>
        <v>0</v>
      </c>
      <c r="AY44" s="4">
        <f t="shared" si="15"/>
        <v>0</v>
      </c>
      <c r="AZ44" s="4">
        <f t="shared" si="9"/>
        <v>0</v>
      </c>
    </row>
    <row r="45" spans="1:52" x14ac:dyDescent="0.3">
      <c r="A45" s="4" t="s">
        <v>52</v>
      </c>
      <c r="B45" s="4" t="s">
        <v>56</v>
      </c>
      <c r="C45" s="4" t="s">
        <v>54</v>
      </c>
      <c r="D45" s="4" t="s">
        <v>57</v>
      </c>
      <c r="E45" s="4" t="s">
        <v>55</v>
      </c>
      <c r="F45" s="4">
        <v>2</v>
      </c>
      <c r="G45" s="4">
        <v>0.04</v>
      </c>
      <c r="H45" s="4" t="b">
        <v>0</v>
      </c>
      <c r="I45" s="4" t="b">
        <v>0</v>
      </c>
      <c r="J45" s="4" t="b">
        <v>0</v>
      </c>
      <c r="K45" s="4">
        <v>2.9529999999999998</v>
      </c>
      <c r="L45" s="4">
        <v>5.1999999999999998E-2</v>
      </c>
      <c r="M45" s="4">
        <v>-5.8000000000000003E-2</v>
      </c>
      <c r="N45" s="4">
        <v>0</v>
      </c>
      <c r="O45" s="4">
        <v>0</v>
      </c>
      <c r="P45" s="4">
        <v>5.0000000000000001E-3</v>
      </c>
      <c r="Q45" s="5">
        <v>1E-3</v>
      </c>
      <c r="R45" s="5">
        <v>0.18</v>
      </c>
      <c r="S45" s="9">
        <v>617.726</v>
      </c>
      <c r="T45" s="4">
        <v>1838.375</v>
      </c>
      <c r="U45" s="4">
        <v>1.605</v>
      </c>
      <c r="V45" s="4">
        <v>2.2639999999999998</v>
      </c>
      <c r="W45" s="4">
        <v>1.5</v>
      </c>
      <c r="X45" s="4">
        <v>3.7240000000000002</v>
      </c>
      <c r="Y45" s="4">
        <v>9.0969999999999995</v>
      </c>
      <c r="Z45" s="8">
        <v>1582</v>
      </c>
      <c r="AA45" s="8">
        <v>5270</v>
      </c>
      <c r="AB45" s="4">
        <v>1728</v>
      </c>
      <c r="AC45" s="4">
        <v>0.06</v>
      </c>
      <c r="AD45" s="5">
        <v>0.93</v>
      </c>
      <c r="AE45" s="16">
        <v>0.08</v>
      </c>
      <c r="AF45" s="4">
        <v>0</v>
      </c>
      <c r="AG45" s="4">
        <v>1</v>
      </c>
      <c r="AH45" s="4">
        <v>2.96</v>
      </c>
      <c r="AI45" s="4">
        <v>2.97689</v>
      </c>
      <c r="AJ45" s="4">
        <v>-8.8999999999999995E-4</v>
      </c>
      <c r="AK45" s="4">
        <v>-5.9999999999999995E-4</v>
      </c>
      <c r="AL45" s="4">
        <v>0</v>
      </c>
      <c r="AM45" s="4">
        <v>0</v>
      </c>
      <c r="AN45" s="4">
        <v>0.29799999999999999</v>
      </c>
      <c r="AO45" s="5">
        <f t="shared" si="5"/>
        <v>0.30018975332068309</v>
      </c>
      <c r="AP45" s="8">
        <f t="shared" si="6"/>
        <v>146</v>
      </c>
      <c r="AQ45" s="6">
        <f t="shared" si="0"/>
        <v>0.78074866310160429</v>
      </c>
      <c r="AR45" s="5">
        <f t="shared" si="7"/>
        <v>0.32789373814041745</v>
      </c>
      <c r="AS45" s="5">
        <f t="shared" si="8"/>
        <v>0.4944124619031493</v>
      </c>
      <c r="AT45" s="5">
        <f t="shared" si="11"/>
        <v>-8.5017728652005797E-2</v>
      </c>
      <c r="AU45" s="5">
        <f t="shared" si="10"/>
        <v>-7.4354970629786854E-2</v>
      </c>
      <c r="AV45" s="4">
        <f t="shared" si="12"/>
        <v>0</v>
      </c>
      <c r="AW45" s="4">
        <f t="shared" si="13"/>
        <v>5</v>
      </c>
      <c r="AX45" s="4">
        <f t="shared" si="14"/>
        <v>0</v>
      </c>
      <c r="AY45" s="4">
        <f t="shared" si="15"/>
        <v>0</v>
      </c>
      <c r="AZ45" s="4">
        <f t="shared" si="9"/>
        <v>0</v>
      </c>
    </row>
    <row r="46" spans="1:52" x14ac:dyDescent="0.3">
      <c r="A46" s="4" t="s">
        <v>52</v>
      </c>
      <c r="B46" s="4" t="s">
        <v>56</v>
      </c>
      <c r="C46" s="4" t="s">
        <v>54</v>
      </c>
      <c r="D46" s="4" t="s">
        <v>57</v>
      </c>
      <c r="E46" s="4" t="s">
        <v>55</v>
      </c>
      <c r="F46" s="4">
        <v>2</v>
      </c>
      <c r="G46" s="4">
        <v>0.04</v>
      </c>
      <c r="H46" s="4" t="b">
        <v>0</v>
      </c>
      <c r="I46" s="4" t="b">
        <v>0</v>
      </c>
      <c r="J46" s="4" t="b">
        <v>0</v>
      </c>
      <c r="K46" s="4">
        <v>2.9529999999999998</v>
      </c>
      <c r="L46" s="4">
        <v>5.1999999999999998E-2</v>
      </c>
      <c r="M46" s="4">
        <v>-5.8000000000000003E-2</v>
      </c>
      <c r="N46" s="4">
        <v>0</v>
      </c>
      <c r="O46" s="4">
        <v>0</v>
      </c>
      <c r="P46" s="4">
        <v>5.0000000000000001E-3</v>
      </c>
      <c r="Q46" s="5">
        <v>1E-3</v>
      </c>
      <c r="R46" s="5">
        <v>0.18</v>
      </c>
      <c r="S46" s="9">
        <v>629.39499999999998</v>
      </c>
      <c r="T46" s="4">
        <v>1838.375</v>
      </c>
      <c r="U46" s="4">
        <v>1.599</v>
      </c>
      <c r="V46" s="4">
        <v>2.6520000000000001</v>
      </c>
      <c r="W46" s="4">
        <v>1.5409999999999999</v>
      </c>
      <c r="X46" s="4">
        <v>3.7040000000000002</v>
      </c>
      <c r="Y46" s="4">
        <v>9.5</v>
      </c>
      <c r="Z46" s="8">
        <v>1616</v>
      </c>
      <c r="AA46" s="8">
        <v>5270</v>
      </c>
      <c r="AB46" s="4">
        <v>1768</v>
      </c>
      <c r="AC46" s="4">
        <v>0.06</v>
      </c>
      <c r="AD46" s="5">
        <v>0.93</v>
      </c>
      <c r="AE46" s="16">
        <v>0.08</v>
      </c>
      <c r="AF46" s="4">
        <v>0</v>
      </c>
      <c r="AG46" s="4">
        <v>1</v>
      </c>
      <c r="AH46" s="4">
        <v>2.98</v>
      </c>
      <c r="AI46" s="4">
        <v>2.97106</v>
      </c>
      <c r="AJ46" s="4">
        <v>-5.0000000000000001E-4</v>
      </c>
      <c r="AK46" s="4">
        <v>-4.2000000000000002E-4</v>
      </c>
      <c r="AL46" s="4">
        <v>0</v>
      </c>
      <c r="AM46" s="4">
        <v>0</v>
      </c>
      <c r="AN46" s="4">
        <v>0.40799999999999997</v>
      </c>
      <c r="AO46" s="5">
        <f t="shared" si="5"/>
        <v>0.30664136622390892</v>
      </c>
      <c r="AP46" s="8">
        <f t="shared" si="6"/>
        <v>152</v>
      </c>
      <c r="AQ46" s="6">
        <f t="shared" si="0"/>
        <v>0.81283422459893051</v>
      </c>
      <c r="AR46" s="5">
        <f t="shared" si="7"/>
        <v>0.33548387096774196</v>
      </c>
      <c r="AS46" s="5">
        <f t="shared" si="8"/>
        <v>0.51473078225533353</v>
      </c>
      <c r="AT46" s="5">
        <f t="shared" si="11"/>
        <v>7.6855080378332524E-2</v>
      </c>
      <c r="AU46" s="5">
        <f t="shared" si="10"/>
        <v>0.51418287771017301</v>
      </c>
      <c r="AV46" s="4">
        <f t="shared" si="12"/>
        <v>0</v>
      </c>
      <c r="AW46" s="4">
        <f t="shared" si="13"/>
        <v>5</v>
      </c>
      <c r="AX46" s="4">
        <f t="shared" si="14"/>
        <v>0</v>
      </c>
      <c r="AY46" s="4">
        <f t="shared" si="15"/>
        <v>0</v>
      </c>
      <c r="AZ46" s="4">
        <f t="shared" si="9"/>
        <v>0</v>
      </c>
    </row>
    <row r="47" spans="1:52" x14ac:dyDescent="0.3">
      <c r="A47" s="4" t="s">
        <v>52</v>
      </c>
      <c r="B47" s="4" t="s">
        <v>56</v>
      </c>
      <c r="C47" s="4" t="s">
        <v>54</v>
      </c>
      <c r="D47" s="4" t="s">
        <v>56</v>
      </c>
      <c r="E47" s="4" t="s">
        <v>55</v>
      </c>
      <c r="F47" s="4">
        <v>2</v>
      </c>
      <c r="G47" s="4">
        <v>0.04</v>
      </c>
      <c r="H47" s="4" t="b">
        <v>0</v>
      </c>
      <c r="I47" s="4" t="b">
        <v>0</v>
      </c>
      <c r="J47" s="4" t="b">
        <v>0</v>
      </c>
      <c r="K47" s="4">
        <v>2.9529999999999998</v>
      </c>
      <c r="L47" s="4">
        <v>5.1999999999999998E-2</v>
      </c>
      <c r="M47" s="4">
        <v>-5.8000000000000003E-2</v>
      </c>
      <c r="N47" s="4">
        <v>44098.606</v>
      </c>
      <c r="O47" s="4">
        <v>8.3000000000000004E-2</v>
      </c>
      <c r="P47" s="4">
        <v>5.0000000000000001E-3</v>
      </c>
      <c r="Q47" s="5">
        <v>1E-3</v>
      </c>
      <c r="R47" s="5">
        <v>0.18</v>
      </c>
      <c r="S47" s="9">
        <v>643.27</v>
      </c>
      <c r="T47" s="4">
        <v>1838.375</v>
      </c>
      <c r="U47" s="4">
        <v>1.665</v>
      </c>
      <c r="V47" s="4">
        <v>2.319</v>
      </c>
      <c r="W47" s="4">
        <v>1.504</v>
      </c>
      <c r="X47" s="4">
        <v>3.706</v>
      </c>
      <c r="Y47" s="4">
        <v>9.1969999999999992</v>
      </c>
      <c r="Z47" s="8">
        <v>1658</v>
      </c>
      <c r="AA47" s="8">
        <v>5270</v>
      </c>
      <c r="AB47" s="4">
        <v>1803</v>
      </c>
      <c r="AC47" s="4">
        <v>0.06</v>
      </c>
      <c r="AD47" s="5">
        <v>0.93500000000000005</v>
      </c>
      <c r="AE47" s="16">
        <v>0</v>
      </c>
      <c r="AF47" s="4">
        <v>0</v>
      </c>
      <c r="AG47" s="4">
        <v>0.93500000000000005</v>
      </c>
      <c r="AH47" s="4">
        <v>2.96</v>
      </c>
      <c r="AI47" s="4">
        <v>2.9651100000000001</v>
      </c>
      <c r="AJ47" s="4">
        <v>-4.2999999999999999E-4</v>
      </c>
      <c r="AK47" s="4">
        <v>-4.6999999999999999E-4</v>
      </c>
      <c r="AL47" s="4">
        <v>0</v>
      </c>
      <c r="AM47" s="4">
        <v>0</v>
      </c>
      <c r="AN47" s="4">
        <v>0.42599999999999999</v>
      </c>
      <c r="AO47" s="5">
        <f t="shared" si="5"/>
        <v>0.31461100569259964</v>
      </c>
      <c r="AP47" s="8">
        <f t="shared" si="6"/>
        <v>145</v>
      </c>
      <c r="AQ47" s="6">
        <f t="shared" si="0"/>
        <v>0.77540106951871657</v>
      </c>
      <c r="AR47" s="5">
        <f t="shared" si="7"/>
        <v>0.34212523719165083</v>
      </c>
      <c r="AS47" s="5">
        <f t="shared" si="8"/>
        <v>0.49102607517778529</v>
      </c>
      <c r="AT47" s="5">
        <f t="shared" si="11"/>
        <v>-1.0791131676389065E-2</v>
      </c>
      <c r="AU47" s="5">
        <f t="shared" si="10"/>
        <v>-0.50450450450450446</v>
      </c>
      <c r="AV47" s="4">
        <f t="shared" si="12"/>
        <v>0</v>
      </c>
      <c r="AW47" s="4">
        <f t="shared" si="13"/>
        <v>5</v>
      </c>
      <c r="AX47" s="4">
        <f t="shared" si="14"/>
        <v>0</v>
      </c>
      <c r="AY47" s="4">
        <f t="shared" si="15"/>
        <v>0</v>
      </c>
      <c r="AZ47" s="4">
        <f t="shared" si="9"/>
        <v>0</v>
      </c>
    </row>
    <row r="48" spans="1:52" x14ac:dyDescent="0.3">
      <c r="A48" s="4" t="s">
        <v>52</v>
      </c>
      <c r="B48" s="4" t="s">
        <v>56</v>
      </c>
      <c r="C48" s="4" t="s">
        <v>54</v>
      </c>
      <c r="D48" s="4" t="s">
        <v>56</v>
      </c>
      <c r="E48" s="4" t="s">
        <v>55</v>
      </c>
      <c r="F48" s="4">
        <v>2</v>
      </c>
      <c r="G48" s="4">
        <v>0.04</v>
      </c>
      <c r="H48" s="4" t="b">
        <v>0</v>
      </c>
      <c r="I48" s="4" t="b">
        <v>0</v>
      </c>
      <c r="J48" s="4" t="b">
        <v>0</v>
      </c>
      <c r="K48" s="4">
        <v>2.9529999999999998</v>
      </c>
      <c r="L48" s="4">
        <v>5.1999999999999998E-2</v>
      </c>
      <c r="M48" s="4">
        <v>-5.8000000000000003E-2</v>
      </c>
      <c r="N48" s="4">
        <v>-24513.366999999998</v>
      </c>
      <c r="O48" s="4">
        <v>-0.14699999999999999</v>
      </c>
      <c r="P48" s="4">
        <v>5.0000000000000001E-3</v>
      </c>
      <c r="Q48" s="5">
        <v>1E-3</v>
      </c>
      <c r="R48" s="5">
        <v>0.18</v>
      </c>
      <c r="S48" s="9">
        <v>657.66600000000005</v>
      </c>
      <c r="T48" s="4">
        <v>1838.375</v>
      </c>
      <c r="U48" s="4">
        <v>1.84</v>
      </c>
      <c r="V48" s="4">
        <v>2.4510000000000001</v>
      </c>
      <c r="W48" s="4">
        <v>1.373</v>
      </c>
      <c r="X48" s="4">
        <v>3.9609999999999999</v>
      </c>
      <c r="Y48" s="4">
        <v>9.6280000000000001</v>
      </c>
      <c r="Z48" s="8">
        <v>1701</v>
      </c>
      <c r="AA48" s="8">
        <v>5270</v>
      </c>
      <c r="AB48" s="4">
        <v>1843</v>
      </c>
      <c r="AC48" s="4">
        <v>0.06</v>
      </c>
      <c r="AD48" s="5">
        <v>0.92500000000000004</v>
      </c>
      <c r="AE48" s="16">
        <v>0</v>
      </c>
      <c r="AF48" s="4">
        <v>0</v>
      </c>
      <c r="AG48" s="4">
        <v>0.92500000000000004</v>
      </c>
      <c r="AH48" s="4">
        <v>2.98</v>
      </c>
      <c r="AI48" s="4">
        <v>2.9657100000000001</v>
      </c>
      <c r="AJ48" s="4">
        <v>4.0000000000000003E-5</v>
      </c>
      <c r="AK48" s="4">
        <v>-3.8999999999999999E-4</v>
      </c>
      <c r="AL48" s="4">
        <v>0</v>
      </c>
      <c r="AM48" s="4">
        <v>0</v>
      </c>
      <c r="AN48" s="4">
        <v>0.21099999999999999</v>
      </c>
      <c r="AO48" s="5">
        <f t="shared" si="5"/>
        <v>0.32277039848197342</v>
      </c>
      <c r="AP48" s="8">
        <f t="shared" si="6"/>
        <v>142</v>
      </c>
      <c r="AQ48" s="6">
        <f t="shared" si="0"/>
        <v>0.75935828877005351</v>
      </c>
      <c r="AR48" s="5">
        <f t="shared" si="7"/>
        <v>0.34971537001897535</v>
      </c>
      <c r="AS48" s="5">
        <f t="shared" si="8"/>
        <v>0.48086691500169315</v>
      </c>
      <c r="AT48" s="5">
        <f t="shared" si="11"/>
        <v>-2.4707021385403323E-2</v>
      </c>
      <c r="AU48" s="5">
        <f t="shared" si="10"/>
        <v>-0.2083912197832721</v>
      </c>
      <c r="AV48" s="4">
        <f t="shared" si="12"/>
        <v>0</v>
      </c>
      <c r="AW48" s="4">
        <f t="shared" si="13"/>
        <v>5</v>
      </c>
      <c r="AX48" s="4">
        <f t="shared" si="14"/>
        <v>0</v>
      </c>
      <c r="AY48" s="4">
        <f t="shared" si="15"/>
        <v>0</v>
      </c>
      <c r="AZ48" s="4">
        <f t="shared" si="9"/>
        <v>0</v>
      </c>
    </row>
    <row r="49" spans="1:52" x14ac:dyDescent="0.3">
      <c r="A49" s="4" t="s">
        <v>52</v>
      </c>
      <c r="B49" s="4" t="s">
        <v>56</v>
      </c>
      <c r="C49" s="4" t="s">
        <v>54</v>
      </c>
      <c r="D49" s="4" t="s">
        <v>56</v>
      </c>
      <c r="E49" s="4" t="s">
        <v>55</v>
      </c>
      <c r="F49" s="4">
        <v>2</v>
      </c>
      <c r="G49" s="4">
        <v>0.04</v>
      </c>
      <c r="H49" s="4" t="b">
        <v>0</v>
      </c>
      <c r="I49" s="4" t="b">
        <v>0</v>
      </c>
      <c r="J49" s="4" t="b">
        <v>0</v>
      </c>
      <c r="K49" s="4">
        <v>2.9529999999999998</v>
      </c>
      <c r="L49" s="4">
        <v>5.1999999999999998E-2</v>
      </c>
      <c r="M49" s="4">
        <v>-5.8000000000000003E-2</v>
      </c>
      <c r="N49" s="4">
        <v>52918.163</v>
      </c>
      <c r="O49" s="4">
        <v>6.7000000000000004E-2</v>
      </c>
      <c r="P49" s="4">
        <v>5.0000000000000001E-3</v>
      </c>
      <c r="Q49" s="5">
        <v>1E-3</v>
      </c>
      <c r="R49" s="5">
        <v>0.18</v>
      </c>
      <c r="S49" s="9">
        <v>671.36</v>
      </c>
      <c r="T49" s="4">
        <v>1838.375</v>
      </c>
      <c r="U49" s="4">
        <v>2.718</v>
      </c>
      <c r="V49" s="4">
        <v>2.1469999999999998</v>
      </c>
      <c r="W49" s="4">
        <v>1.36</v>
      </c>
      <c r="X49" s="4">
        <v>3.5129999999999999</v>
      </c>
      <c r="Y49" s="4">
        <v>9.7409999999999997</v>
      </c>
      <c r="Z49" s="8">
        <v>1741</v>
      </c>
      <c r="AA49" s="8">
        <v>5270</v>
      </c>
      <c r="AB49" s="4">
        <v>1887</v>
      </c>
      <c r="AC49" s="4">
        <v>0.06</v>
      </c>
      <c r="AD49" s="5">
        <v>0.93</v>
      </c>
      <c r="AE49" s="16">
        <v>0</v>
      </c>
      <c r="AF49" s="4">
        <v>0</v>
      </c>
      <c r="AG49" s="4">
        <v>0.93</v>
      </c>
      <c r="AH49" s="4">
        <v>2.98</v>
      </c>
      <c r="AI49" s="4">
        <v>2.9664600000000001</v>
      </c>
      <c r="AJ49" s="4">
        <v>5.0000000000000002E-5</v>
      </c>
      <c r="AK49" s="4">
        <v>-3.3E-4</v>
      </c>
      <c r="AL49" s="4">
        <v>0</v>
      </c>
      <c r="AM49" s="4">
        <v>0</v>
      </c>
      <c r="AN49" s="4">
        <v>0.17799999999999999</v>
      </c>
      <c r="AO49" s="5">
        <f t="shared" si="5"/>
        <v>0.33036053130929793</v>
      </c>
      <c r="AP49" s="8">
        <f t="shared" si="6"/>
        <v>146</v>
      </c>
      <c r="AQ49" s="6">
        <f t="shared" si="0"/>
        <v>0.78074866310160429</v>
      </c>
      <c r="AR49" s="5">
        <f t="shared" si="7"/>
        <v>0.35806451612903228</v>
      </c>
      <c r="AS49" s="5">
        <f t="shared" si="8"/>
        <v>0.4944124619031493</v>
      </c>
      <c r="AT49" s="5">
        <f t="shared" si="11"/>
        <v>3.8061824326275475E-3</v>
      </c>
      <c r="AU49" s="5">
        <f t="shared" si="10"/>
        <v>0.29209872937052811</v>
      </c>
      <c r="AV49" s="4">
        <f t="shared" si="12"/>
        <v>0</v>
      </c>
      <c r="AW49" s="4">
        <f t="shared" si="13"/>
        <v>5</v>
      </c>
      <c r="AX49" s="4">
        <f t="shared" si="14"/>
        <v>0</v>
      </c>
      <c r="AY49" s="4">
        <f t="shared" si="15"/>
        <v>0</v>
      </c>
      <c r="AZ49" s="4">
        <f t="shared" si="9"/>
        <v>0</v>
      </c>
    </row>
    <row r="50" spans="1:52" x14ac:dyDescent="0.3">
      <c r="A50" s="4" t="s">
        <v>52</v>
      </c>
      <c r="B50" s="4" t="s">
        <v>56</v>
      </c>
      <c r="C50" s="4" t="s">
        <v>54</v>
      </c>
      <c r="D50" s="4" t="s">
        <v>56</v>
      </c>
      <c r="E50" s="4" t="s">
        <v>55</v>
      </c>
      <c r="F50" s="4">
        <v>2</v>
      </c>
      <c r="G50" s="4">
        <v>0.04</v>
      </c>
      <c r="H50" s="4" t="b">
        <v>0</v>
      </c>
      <c r="I50" s="4" t="b">
        <v>0</v>
      </c>
      <c r="J50" s="4" t="b">
        <v>0</v>
      </c>
      <c r="K50" s="4">
        <v>2.9529999999999998</v>
      </c>
      <c r="L50" s="4">
        <v>5.1999999999999998E-2</v>
      </c>
      <c r="M50" s="4">
        <v>-5.8000000000000003E-2</v>
      </c>
      <c r="N50" s="4">
        <v>48731.82</v>
      </c>
      <c r="O50" s="4">
        <v>7.1999999999999995E-2</v>
      </c>
      <c r="P50" s="4">
        <v>5.0000000000000001E-3</v>
      </c>
      <c r="Q50" s="5">
        <v>1E-3</v>
      </c>
      <c r="R50" s="5">
        <v>0.18</v>
      </c>
      <c r="S50" s="9">
        <v>685.32500000000005</v>
      </c>
      <c r="T50" s="4">
        <v>1838.375</v>
      </c>
      <c r="U50" s="4">
        <v>1.4810000000000001</v>
      </c>
      <c r="V50" s="4">
        <v>2.6230000000000002</v>
      </c>
      <c r="W50" s="4">
        <v>1.4330000000000001</v>
      </c>
      <c r="X50" s="4">
        <v>4.1500000000000004</v>
      </c>
      <c r="Y50" s="4">
        <v>9.69</v>
      </c>
      <c r="Z50" s="8">
        <v>1782</v>
      </c>
      <c r="AA50" s="8">
        <v>5270</v>
      </c>
      <c r="AB50" s="4">
        <v>1928</v>
      </c>
      <c r="AC50" s="4">
        <v>0.06</v>
      </c>
      <c r="AD50" s="5">
        <v>0.93500000000000005</v>
      </c>
      <c r="AE50" s="16">
        <v>0</v>
      </c>
      <c r="AF50" s="4">
        <v>0</v>
      </c>
      <c r="AG50" s="4">
        <v>0.93500000000000005</v>
      </c>
      <c r="AH50" s="4">
        <v>2.98</v>
      </c>
      <c r="AI50" s="4">
        <v>2.9585900000000001</v>
      </c>
      <c r="AJ50" s="4">
        <v>-5.5999999999999995E-4</v>
      </c>
      <c r="AK50" s="4">
        <v>-2.7E-4</v>
      </c>
      <c r="AL50" s="4">
        <v>0</v>
      </c>
      <c r="AM50" s="4">
        <v>0</v>
      </c>
      <c r="AN50" s="4">
        <v>0.16700000000000001</v>
      </c>
      <c r="AO50" s="5">
        <f t="shared" si="5"/>
        <v>0.3381404174573055</v>
      </c>
      <c r="AP50" s="8">
        <f t="shared" si="6"/>
        <v>146</v>
      </c>
      <c r="AQ50" s="6">
        <f t="shared" si="0"/>
        <v>0.78074866310160429</v>
      </c>
      <c r="AR50" s="5">
        <f t="shared" si="7"/>
        <v>0.36584440227703985</v>
      </c>
      <c r="AS50" s="5">
        <f t="shared" si="8"/>
        <v>0.4944124619031493</v>
      </c>
      <c r="AT50" s="5">
        <f t="shared" si="11"/>
        <v>1.8677176558584911E-2</v>
      </c>
      <c r="AU50" s="5">
        <f t="shared" si="10"/>
        <v>0</v>
      </c>
      <c r="AV50" s="4">
        <f t="shared" si="12"/>
        <v>0</v>
      </c>
      <c r="AW50" s="4">
        <f t="shared" si="13"/>
        <v>5</v>
      </c>
      <c r="AX50" s="4">
        <f t="shared" si="14"/>
        <v>0</v>
      </c>
      <c r="AY50" s="4">
        <f t="shared" si="15"/>
        <v>0</v>
      </c>
      <c r="AZ50" s="4">
        <f t="shared" si="9"/>
        <v>0</v>
      </c>
    </row>
    <row r="51" spans="1:52" x14ac:dyDescent="0.3">
      <c r="A51" s="4" t="s">
        <v>52</v>
      </c>
      <c r="B51" s="4" t="s">
        <v>56</v>
      </c>
      <c r="C51" s="4" t="s">
        <v>54</v>
      </c>
      <c r="D51" s="4" t="s">
        <v>57</v>
      </c>
      <c r="E51" s="4" t="s">
        <v>55</v>
      </c>
      <c r="F51" s="4">
        <v>2</v>
      </c>
      <c r="G51" s="4">
        <v>0.04</v>
      </c>
      <c r="H51" s="4" t="b">
        <v>0</v>
      </c>
      <c r="I51" s="4" t="b">
        <v>0</v>
      </c>
      <c r="J51" s="4" t="b">
        <v>0</v>
      </c>
      <c r="K51" s="4">
        <v>2.9529999999999998</v>
      </c>
      <c r="L51" s="4">
        <v>5.1999999999999998E-2</v>
      </c>
      <c r="M51" s="4">
        <v>-5.8000000000000003E-2</v>
      </c>
      <c r="N51" s="4">
        <v>0</v>
      </c>
      <c r="O51" s="4">
        <v>0</v>
      </c>
      <c r="P51" s="4">
        <v>5.0000000000000001E-3</v>
      </c>
      <c r="Q51" s="5">
        <v>1E-3</v>
      </c>
      <c r="R51" s="5">
        <v>0.18</v>
      </c>
      <c r="S51" s="9">
        <v>699.22900000000004</v>
      </c>
      <c r="T51" s="4">
        <v>1838.375</v>
      </c>
      <c r="U51" s="4">
        <v>1.64</v>
      </c>
      <c r="V51" s="4">
        <v>2.3490000000000002</v>
      </c>
      <c r="W51" s="4">
        <v>1.492</v>
      </c>
      <c r="X51" s="4">
        <v>4.6340000000000003</v>
      </c>
      <c r="Y51" s="4">
        <v>10.118</v>
      </c>
      <c r="Z51" s="8">
        <v>1823</v>
      </c>
      <c r="AA51" s="8">
        <v>5270</v>
      </c>
      <c r="AB51" s="4">
        <v>1969</v>
      </c>
      <c r="AC51" s="4">
        <v>0.06</v>
      </c>
      <c r="AD51" s="5">
        <v>0.93500000000000005</v>
      </c>
      <c r="AE51" s="16">
        <v>0.08</v>
      </c>
      <c r="AF51" s="4">
        <v>0</v>
      </c>
      <c r="AG51" s="4">
        <v>1</v>
      </c>
      <c r="AH51" s="4">
        <v>2.94</v>
      </c>
      <c r="AI51" s="4">
        <v>2.9641600000000001</v>
      </c>
      <c r="AJ51" s="4">
        <v>4.0000000000000002E-4</v>
      </c>
      <c r="AK51" s="4">
        <v>-1E-4</v>
      </c>
      <c r="AL51" s="4">
        <v>0</v>
      </c>
      <c r="AM51" s="4">
        <v>0</v>
      </c>
      <c r="AN51" s="4">
        <v>0.30199999999999999</v>
      </c>
      <c r="AO51" s="5">
        <f t="shared" si="5"/>
        <v>0.34592030360531312</v>
      </c>
      <c r="AP51" s="8">
        <f t="shared" si="6"/>
        <v>146</v>
      </c>
      <c r="AQ51" s="6">
        <f t="shared" si="0"/>
        <v>0.78074866310160429</v>
      </c>
      <c r="AR51" s="5">
        <f t="shared" si="7"/>
        <v>0.37362428842504741</v>
      </c>
      <c r="AS51" s="5">
        <f t="shared" si="8"/>
        <v>0.4944124619031493</v>
      </c>
      <c r="AT51" s="5">
        <f t="shared" si="11"/>
        <v>-8.4159398983449693E-2</v>
      </c>
      <c r="AU51" s="5">
        <f t="shared" si="10"/>
        <v>0</v>
      </c>
      <c r="AV51" s="4">
        <f t="shared" si="12"/>
        <v>0</v>
      </c>
      <c r="AW51" s="4">
        <f t="shared" si="13"/>
        <v>5</v>
      </c>
      <c r="AX51" s="4">
        <f t="shared" si="14"/>
        <v>0</v>
      </c>
      <c r="AY51" s="4">
        <f t="shared" si="15"/>
        <v>0</v>
      </c>
      <c r="AZ51" s="4">
        <f t="shared" si="9"/>
        <v>0</v>
      </c>
    </row>
    <row r="52" spans="1:52" x14ac:dyDescent="0.3">
      <c r="A52" s="4" t="s">
        <v>52</v>
      </c>
      <c r="B52" s="4" t="s">
        <v>56</v>
      </c>
      <c r="C52" s="4" t="s">
        <v>54</v>
      </c>
      <c r="D52" s="4" t="s">
        <v>56</v>
      </c>
      <c r="E52" s="4" t="s">
        <v>55</v>
      </c>
      <c r="F52" s="4">
        <v>2</v>
      </c>
      <c r="G52" s="4">
        <v>0.04</v>
      </c>
      <c r="H52" s="4" t="b">
        <v>0</v>
      </c>
      <c r="I52" s="4" t="b">
        <v>0</v>
      </c>
      <c r="J52" s="4" t="b">
        <v>0</v>
      </c>
      <c r="K52" s="4">
        <v>2.9529999999999998</v>
      </c>
      <c r="L52" s="4">
        <v>5.1999999999999998E-2</v>
      </c>
      <c r="M52" s="4">
        <v>-5.8000000000000003E-2</v>
      </c>
      <c r="N52" s="4">
        <v>49403.124000000003</v>
      </c>
      <c r="O52" s="4">
        <v>7.0000000000000007E-2</v>
      </c>
      <c r="P52" s="4">
        <v>5.0000000000000001E-3</v>
      </c>
      <c r="Q52" s="5">
        <v>1E-3</v>
      </c>
      <c r="R52" s="5">
        <v>0.18</v>
      </c>
      <c r="S52" s="9">
        <v>713.851</v>
      </c>
      <c r="T52" s="4">
        <v>1838.375</v>
      </c>
      <c r="U52" s="4">
        <v>1.5640000000000001</v>
      </c>
      <c r="V52" s="4">
        <v>2.266</v>
      </c>
      <c r="W52" s="4">
        <v>2.9550000000000001</v>
      </c>
      <c r="X52" s="4">
        <v>3.9449999999999998</v>
      </c>
      <c r="Y52" s="4">
        <v>10.734999999999999</v>
      </c>
      <c r="Z52" s="8">
        <v>1866</v>
      </c>
      <c r="AA52" s="8">
        <v>5270</v>
      </c>
      <c r="AB52" s="4">
        <v>2011</v>
      </c>
      <c r="AC52" s="4">
        <v>0.06</v>
      </c>
      <c r="AD52" s="5">
        <v>0.94</v>
      </c>
      <c r="AE52" s="16">
        <v>0</v>
      </c>
      <c r="AF52" s="4">
        <v>0</v>
      </c>
      <c r="AG52" s="4">
        <v>0.94</v>
      </c>
      <c r="AH52" s="4">
        <v>2.92</v>
      </c>
      <c r="AI52" s="4">
        <v>2.9469599999999998</v>
      </c>
      <c r="AJ52" s="4">
        <v>-1.1800000000000001E-3</v>
      </c>
      <c r="AK52" s="4">
        <v>-2.5999999999999998E-4</v>
      </c>
      <c r="AL52" s="4">
        <v>0</v>
      </c>
      <c r="AM52" s="4">
        <v>0</v>
      </c>
      <c r="AN52" s="4">
        <v>0.42599999999999999</v>
      </c>
      <c r="AO52" s="5">
        <f t="shared" si="5"/>
        <v>0.35407969639468689</v>
      </c>
      <c r="AP52" s="8">
        <f t="shared" si="6"/>
        <v>145</v>
      </c>
      <c r="AQ52" s="6">
        <f t="shared" si="0"/>
        <v>0.77540106951871657</v>
      </c>
      <c r="AR52" s="5">
        <f t="shared" si="7"/>
        <v>0.38159392789373814</v>
      </c>
      <c r="AS52" s="5">
        <f t="shared" si="8"/>
        <v>0.49102607517778529</v>
      </c>
      <c r="AT52" s="5">
        <f t="shared" si="11"/>
        <v>3.0634824946635802E-3</v>
      </c>
      <c r="AU52" s="5">
        <f t="shared" si="10"/>
        <v>-6.8390097113938106E-2</v>
      </c>
      <c r="AV52" s="4">
        <f t="shared" si="12"/>
        <v>0</v>
      </c>
      <c r="AW52" s="4">
        <f t="shared" si="13"/>
        <v>5</v>
      </c>
      <c r="AX52" s="4">
        <f t="shared" si="14"/>
        <v>0</v>
      </c>
      <c r="AY52" s="4">
        <f t="shared" si="15"/>
        <v>0</v>
      </c>
      <c r="AZ52" s="4">
        <f t="shared" si="9"/>
        <v>0</v>
      </c>
    </row>
    <row r="53" spans="1:52" x14ac:dyDescent="0.3">
      <c r="A53" s="4" t="s">
        <v>52</v>
      </c>
      <c r="B53" s="4" t="s">
        <v>56</v>
      </c>
      <c r="C53" s="4" t="s">
        <v>54</v>
      </c>
      <c r="D53" s="4" t="s">
        <v>56</v>
      </c>
      <c r="E53" s="4" t="s">
        <v>55</v>
      </c>
      <c r="F53" s="4">
        <v>2</v>
      </c>
      <c r="G53" s="4">
        <v>0.04</v>
      </c>
      <c r="H53" s="4" t="b">
        <v>0</v>
      </c>
      <c r="I53" s="4" t="b">
        <v>0</v>
      </c>
      <c r="J53" s="4" t="b">
        <v>0</v>
      </c>
      <c r="K53" s="4">
        <v>2.9529999999999998</v>
      </c>
      <c r="L53" s="4">
        <v>5.1999999999999998E-2</v>
      </c>
      <c r="M53" s="4">
        <v>-5.8000000000000003E-2</v>
      </c>
      <c r="N53" s="4">
        <v>25956.142</v>
      </c>
      <c r="O53" s="4">
        <v>0.13100000000000001</v>
      </c>
      <c r="P53" s="4">
        <v>5.0000000000000001E-3</v>
      </c>
      <c r="Q53" s="5">
        <v>1E-3</v>
      </c>
      <c r="R53" s="5">
        <v>0.18</v>
      </c>
      <c r="S53" s="9">
        <v>729.20699999999999</v>
      </c>
      <c r="T53" s="4">
        <v>1838.375</v>
      </c>
      <c r="U53" s="4">
        <v>2.077</v>
      </c>
      <c r="V53" s="4">
        <v>2.31</v>
      </c>
      <c r="W53" s="4">
        <v>2.9140000000000001</v>
      </c>
      <c r="X53" s="4">
        <v>3.6240000000000001</v>
      </c>
      <c r="Y53" s="4">
        <v>10.929</v>
      </c>
      <c r="Z53" s="8">
        <v>1911</v>
      </c>
      <c r="AA53" s="8">
        <v>5270</v>
      </c>
      <c r="AB53" s="4">
        <v>2056</v>
      </c>
      <c r="AC53" s="4">
        <v>0.06</v>
      </c>
      <c r="AD53" s="5">
        <v>0.95</v>
      </c>
      <c r="AE53" s="16">
        <v>0</v>
      </c>
      <c r="AF53" s="4">
        <v>0</v>
      </c>
      <c r="AG53" s="4">
        <v>0.95</v>
      </c>
      <c r="AH53" s="4">
        <v>2.94</v>
      </c>
      <c r="AI53" s="4">
        <v>2.9353699999999998</v>
      </c>
      <c r="AJ53" s="4">
        <v>-7.5000000000000002E-4</v>
      </c>
      <c r="AK53" s="4">
        <v>-4.2000000000000002E-4</v>
      </c>
      <c r="AL53" s="4">
        <v>0</v>
      </c>
      <c r="AM53" s="4">
        <v>0</v>
      </c>
      <c r="AN53" s="4">
        <v>0.251</v>
      </c>
      <c r="AO53" s="5">
        <f t="shared" si="5"/>
        <v>0.36261859582542694</v>
      </c>
      <c r="AP53" s="8">
        <f t="shared" si="6"/>
        <v>145</v>
      </c>
      <c r="AQ53" s="6">
        <f t="shared" si="0"/>
        <v>0.77540106951871657</v>
      </c>
      <c r="AR53" s="5">
        <f t="shared" si="7"/>
        <v>0.39013282732447818</v>
      </c>
      <c r="AS53" s="5">
        <f t="shared" si="8"/>
        <v>0.49102607517778529</v>
      </c>
      <c r="AT53" s="5">
        <f t="shared" si="11"/>
        <v>4.4741726451317999E-2</v>
      </c>
      <c r="AU53" s="5">
        <f t="shared" si="10"/>
        <v>0</v>
      </c>
      <c r="AV53" s="4">
        <f t="shared" si="12"/>
        <v>0</v>
      </c>
      <c r="AW53" s="4">
        <f t="shared" si="13"/>
        <v>5</v>
      </c>
      <c r="AX53" s="4">
        <f t="shared" si="14"/>
        <v>0</v>
      </c>
      <c r="AY53" s="4">
        <f t="shared" si="15"/>
        <v>0</v>
      </c>
      <c r="AZ53" s="4">
        <f t="shared" si="9"/>
        <v>0</v>
      </c>
    </row>
    <row r="54" spans="1:52" x14ac:dyDescent="0.3">
      <c r="A54" s="4" t="s">
        <v>52</v>
      </c>
      <c r="B54" s="4" t="s">
        <v>56</v>
      </c>
      <c r="C54" s="4" t="s">
        <v>54</v>
      </c>
      <c r="D54" s="4" t="s">
        <v>56</v>
      </c>
      <c r="E54" s="4" t="s">
        <v>55</v>
      </c>
      <c r="F54" s="4">
        <v>2</v>
      </c>
      <c r="G54" s="4">
        <v>0.04</v>
      </c>
      <c r="H54" s="4" t="b">
        <v>0</v>
      </c>
      <c r="I54" s="4" t="b">
        <v>0</v>
      </c>
      <c r="J54" s="4" t="b">
        <v>0</v>
      </c>
      <c r="K54" s="4">
        <v>2.9529999999999998</v>
      </c>
      <c r="L54" s="4">
        <v>5.1999999999999998E-2</v>
      </c>
      <c r="M54" s="4">
        <v>-5.8000000000000003E-2</v>
      </c>
      <c r="N54" s="4">
        <v>52194.947</v>
      </c>
      <c r="O54" s="4">
        <v>6.4000000000000001E-2</v>
      </c>
      <c r="P54" s="4">
        <v>5.0000000000000001E-3</v>
      </c>
      <c r="Q54" s="5">
        <v>1E-3</v>
      </c>
      <c r="R54" s="5">
        <v>0.18</v>
      </c>
      <c r="S54" s="9">
        <v>744.71199999999999</v>
      </c>
      <c r="T54" s="4">
        <v>1838.375</v>
      </c>
      <c r="U54" s="4">
        <v>1.5289999999999999</v>
      </c>
      <c r="V54" s="4">
        <v>2.161</v>
      </c>
      <c r="W54" s="4">
        <v>1.81</v>
      </c>
      <c r="X54" s="4">
        <v>3.7749999999999999</v>
      </c>
      <c r="Y54" s="4">
        <v>9.2789999999999999</v>
      </c>
      <c r="Z54" s="8">
        <v>1957</v>
      </c>
      <c r="AA54" s="8">
        <v>5270</v>
      </c>
      <c r="AB54" s="4">
        <v>2102</v>
      </c>
      <c r="AC54" s="4">
        <v>0.06</v>
      </c>
      <c r="AD54" s="5">
        <v>0.95499999999999996</v>
      </c>
      <c r="AE54" s="16">
        <v>0</v>
      </c>
      <c r="AF54" s="4">
        <v>0</v>
      </c>
      <c r="AG54" s="4">
        <v>0.95499999999999996</v>
      </c>
      <c r="AH54" s="4">
        <v>2.92</v>
      </c>
      <c r="AI54" s="4">
        <v>2.9447100000000002</v>
      </c>
      <c r="AJ54" s="4">
        <v>5.9999999999999995E-4</v>
      </c>
      <c r="AK54" s="4">
        <v>-2.9999999999999997E-4</v>
      </c>
      <c r="AL54" s="4">
        <v>0</v>
      </c>
      <c r="AM54" s="4">
        <v>0</v>
      </c>
      <c r="AN54" s="4">
        <v>0.22900000000000001</v>
      </c>
      <c r="AO54" s="5">
        <f t="shared" si="5"/>
        <v>0.37134724857685009</v>
      </c>
      <c r="AP54" s="8">
        <f t="shared" si="6"/>
        <v>145</v>
      </c>
      <c r="AQ54" s="6">
        <f t="shared" si="0"/>
        <v>0.77540106951871657</v>
      </c>
      <c r="AR54" s="5">
        <f t="shared" si="7"/>
        <v>0.39886148007590133</v>
      </c>
      <c r="AS54" s="5">
        <f t="shared" si="8"/>
        <v>0.49102607517778529</v>
      </c>
      <c r="AT54" s="5">
        <f t="shared" si="11"/>
        <v>-1.367801942278762E-2</v>
      </c>
      <c r="AU54" s="5">
        <f t="shared" si="10"/>
        <v>0</v>
      </c>
      <c r="AV54" s="4">
        <f t="shared" si="12"/>
        <v>0</v>
      </c>
      <c r="AW54" s="4">
        <f t="shared" si="13"/>
        <v>5</v>
      </c>
      <c r="AX54" s="4">
        <f t="shared" si="14"/>
        <v>0</v>
      </c>
      <c r="AY54" s="4">
        <f t="shared" si="15"/>
        <v>0</v>
      </c>
      <c r="AZ54" s="4">
        <f t="shared" si="9"/>
        <v>0</v>
      </c>
    </row>
    <row r="55" spans="1:52" x14ac:dyDescent="0.3">
      <c r="A55" s="4" t="s">
        <v>52</v>
      </c>
      <c r="B55" s="4" t="s">
        <v>56</v>
      </c>
      <c r="C55" s="4" t="s">
        <v>54</v>
      </c>
      <c r="D55" s="4" t="s">
        <v>56</v>
      </c>
      <c r="E55" s="4" t="s">
        <v>55</v>
      </c>
      <c r="F55" s="4">
        <v>2</v>
      </c>
      <c r="G55" s="4">
        <v>0.04</v>
      </c>
      <c r="H55" s="4" t="b">
        <v>0</v>
      </c>
      <c r="I55" s="4" t="b">
        <v>0</v>
      </c>
      <c r="J55" s="4" t="b">
        <v>0</v>
      </c>
      <c r="K55" s="4">
        <v>2.9529999999999998</v>
      </c>
      <c r="L55" s="4">
        <v>5.1999999999999998E-2</v>
      </c>
      <c r="M55" s="4">
        <v>-5.8000000000000003E-2</v>
      </c>
      <c r="N55" s="4">
        <v>-9185.5689999999995</v>
      </c>
      <c r="O55" s="4">
        <v>-0.36099999999999999</v>
      </c>
      <c r="P55" s="4">
        <v>5.0000000000000001E-3</v>
      </c>
      <c r="Q55" s="5">
        <v>1E-3</v>
      </c>
      <c r="R55" s="5">
        <v>0.18</v>
      </c>
      <c r="S55" s="9">
        <v>758.15800000000002</v>
      </c>
      <c r="T55" s="4">
        <v>1838.375</v>
      </c>
      <c r="U55" s="4">
        <v>1.508</v>
      </c>
      <c r="V55" s="4">
        <v>2.1749999999999998</v>
      </c>
      <c r="W55" s="4">
        <v>1.5049999999999999</v>
      </c>
      <c r="X55" s="4">
        <v>3.7629999999999999</v>
      </c>
      <c r="Y55" s="4">
        <v>8.9540000000000006</v>
      </c>
      <c r="Z55" s="8">
        <v>1996</v>
      </c>
      <c r="AA55" s="8">
        <v>5270</v>
      </c>
      <c r="AB55" s="4">
        <v>2143</v>
      </c>
      <c r="AC55" s="4">
        <v>0.06</v>
      </c>
      <c r="AD55" s="5">
        <v>0.93</v>
      </c>
      <c r="AE55" s="16">
        <v>0</v>
      </c>
      <c r="AF55" s="4">
        <v>0</v>
      </c>
      <c r="AG55" s="4">
        <v>0.93</v>
      </c>
      <c r="AH55" s="4">
        <v>2.94</v>
      </c>
      <c r="AI55" s="4">
        <v>2.9382700000000002</v>
      </c>
      <c r="AJ55" s="4">
        <v>-4.8000000000000001E-4</v>
      </c>
      <c r="AK55" s="4">
        <v>-2.7999999999999998E-4</v>
      </c>
      <c r="AL55" s="4">
        <v>0</v>
      </c>
      <c r="AM55" s="4">
        <v>0</v>
      </c>
      <c r="AN55" s="4">
        <v>0.218</v>
      </c>
      <c r="AO55" s="5">
        <f t="shared" si="5"/>
        <v>0.37874762808349144</v>
      </c>
      <c r="AP55" s="8">
        <f t="shared" si="6"/>
        <v>147</v>
      </c>
      <c r="AQ55" s="6">
        <f t="shared" si="0"/>
        <v>0.78609625668449201</v>
      </c>
      <c r="AR55" s="5">
        <f t="shared" si="7"/>
        <v>0.4066413662239089</v>
      </c>
      <c r="AS55" s="5">
        <f t="shared" si="8"/>
        <v>0.49779884862851337</v>
      </c>
      <c r="AT55" s="5">
        <f t="shared" si="11"/>
        <v>1.6070604703346487E-2</v>
      </c>
      <c r="AU55" s="5">
        <f t="shared" si="10"/>
        <v>0.14874312063067055</v>
      </c>
      <c r="AV55" s="4">
        <f t="shared" si="12"/>
        <v>0</v>
      </c>
      <c r="AW55" s="4">
        <f t="shared" si="13"/>
        <v>5</v>
      </c>
      <c r="AX55" s="4">
        <f t="shared" si="14"/>
        <v>0</v>
      </c>
      <c r="AY55" s="4">
        <f t="shared" si="15"/>
        <v>0</v>
      </c>
      <c r="AZ55" s="4">
        <f t="shared" si="9"/>
        <v>0</v>
      </c>
    </row>
    <row r="56" spans="1:52" x14ac:dyDescent="0.3">
      <c r="A56" s="4" t="s">
        <v>52</v>
      </c>
      <c r="B56" s="4" t="s">
        <v>56</v>
      </c>
      <c r="C56" s="4" t="s">
        <v>54</v>
      </c>
      <c r="D56" s="4" t="s">
        <v>57</v>
      </c>
      <c r="E56" s="4" t="s">
        <v>55</v>
      </c>
      <c r="F56" s="4">
        <v>2</v>
      </c>
      <c r="G56" s="4">
        <v>0.04</v>
      </c>
      <c r="H56" s="4" t="b">
        <v>0</v>
      </c>
      <c r="I56" s="4" t="b">
        <v>0</v>
      </c>
      <c r="J56" s="4" t="b">
        <v>0</v>
      </c>
      <c r="K56" s="4">
        <v>2.9529999999999998</v>
      </c>
      <c r="L56" s="4">
        <v>5.1999999999999998E-2</v>
      </c>
      <c r="M56" s="4">
        <v>-5.8000000000000003E-2</v>
      </c>
      <c r="N56" s="4">
        <v>0</v>
      </c>
      <c r="O56" s="4">
        <v>0</v>
      </c>
      <c r="P56" s="4">
        <v>5.0000000000000001E-3</v>
      </c>
      <c r="Q56" s="5">
        <v>1E-3</v>
      </c>
      <c r="R56" s="5">
        <v>0.18</v>
      </c>
      <c r="S56" s="9">
        <v>771.18399999999997</v>
      </c>
      <c r="T56" s="4">
        <v>1838.375</v>
      </c>
      <c r="U56" s="4">
        <v>1.575</v>
      </c>
      <c r="V56" s="4">
        <v>2.2440000000000002</v>
      </c>
      <c r="W56" s="4">
        <v>1.4019999999999999</v>
      </c>
      <c r="X56" s="4">
        <v>3.464</v>
      </c>
      <c r="Y56" s="4">
        <v>8.6890000000000001</v>
      </c>
      <c r="Z56" s="8">
        <v>2034</v>
      </c>
      <c r="AA56" s="8">
        <v>5270</v>
      </c>
      <c r="AB56" s="4">
        <v>2182</v>
      </c>
      <c r="AC56" s="4">
        <v>0.06</v>
      </c>
      <c r="AD56" s="5">
        <v>0.93</v>
      </c>
      <c r="AE56" s="16">
        <v>0.08</v>
      </c>
      <c r="AF56" s="4">
        <v>0</v>
      </c>
      <c r="AG56" s="4">
        <v>1</v>
      </c>
      <c r="AH56" s="4">
        <v>2.94</v>
      </c>
      <c r="AI56" s="4">
        <v>2.9323700000000001</v>
      </c>
      <c r="AJ56" s="4">
        <v>-4.4999999999999999E-4</v>
      </c>
      <c r="AK56" s="4">
        <v>-4.4000000000000002E-4</v>
      </c>
      <c r="AL56" s="4">
        <v>0</v>
      </c>
      <c r="AM56" s="4">
        <v>0</v>
      </c>
      <c r="AN56" s="4">
        <v>0.23599999999999999</v>
      </c>
      <c r="AO56" s="5">
        <f t="shared" si="5"/>
        <v>0.38595825426944974</v>
      </c>
      <c r="AP56" s="8">
        <f t="shared" si="6"/>
        <v>148</v>
      </c>
      <c r="AQ56" s="6">
        <f t="shared" si="0"/>
        <v>0.79144385026737973</v>
      </c>
      <c r="AR56" s="5">
        <f t="shared" si="7"/>
        <v>0.4140417457305503</v>
      </c>
      <c r="AS56" s="5">
        <f t="shared" si="8"/>
        <v>0.50118523535387738</v>
      </c>
      <c r="AT56" s="5">
        <f t="shared" si="11"/>
        <v>3.1424512272822974E-2</v>
      </c>
      <c r="AU56" s="5">
        <f t="shared" si="10"/>
        <v>7.6769537847382427E-2</v>
      </c>
      <c r="AV56" s="4">
        <f t="shared" si="12"/>
        <v>0</v>
      </c>
      <c r="AW56" s="4">
        <f t="shared" si="13"/>
        <v>5</v>
      </c>
      <c r="AX56" s="4">
        <f t="shared" si="14"/>
        <v>0</v>
      </c>
      <c r="AY56" s="4">
        <f t="shared" si="15"/>
        <v>0</v>
      </c>
      <c r="AZ56" s="4">
        <f t="shared" si="9"/>
        <v>0</v>
      </c>
    </row>
    <row r="57" spans="1:52" x14ac:dyDescent="0.3">
      <c r="A57" s="4" t="s">
        <v>52</v>
      </c>
      <c r="B57" s="4" t="s">
        <v>56</v>
      </c>
      <c r="C57" s="4" t="s">
        <v>54</v>
      </c>
      <c r="D57" s="4" t="s">
        <v>56</v>
      </c>
      <c r="E57" s="4" t="s">
        <v>55</v>
      </c>
      <c r="F57" s="4">
        <v>2</v>
      </c>
      <c r="G57" s="4">
        <v>0.04</v>
      </c>
      <c r="H57" s="4" t="b">
        <v>0</v>
      </c>
      <c r="I57" s="4" t="b">
        <v>0</v>
      </c>
      <c r="J57" s="4" t="b">
        <v>0</v>
      </c>
      <c r="K57" s="4">
        <v>2.9529999999999998</v>
      </c>
      <c r="L57" s="4">
        <v>5.1999999999999998E-2</v>
      </c>
      <c r="M57" s="4">
        <v>-5.8000000000000003E-2</v>
      </c>
      <c r="N57" s="4">
        <v>-41290.822999999997</v>
      </c>
      <c r="O57" s="4">
        <v>-7.8E-2</v>
      </c>
      <c r="P57" s="4">
        <v>5.0000000000000001E-3</v>
      </c>
      <c r="Q57" s="5">
        <v>1E-3</v>
      </c>
      <c r="R57" s="5">
        <v>0.18</v>
      </c>
      <c r="S57" s="9">
        <v>784.05499999999995</v>
      </c>
      <c r="T57" s="4">
        <v>1838.375</v>
      </c>
      <c r="U57" s="4">
        <v>1.411</v>
      </c>
      <c r="V57" s="4">
        <v>2.1970000000000001</v>
      </c>
      <c r="W57" s="4">
        <v>1.4219999999999999</v>
      </c>
      <c r="X57" s="4">
        <v>3.6560000000000001</v>
      </c>
      <c r="Y57" s="4">
        <v>8.6890000000000001</v>
      </c>
      <c r="Z57" s="8">
        <v>2072</v>
      </c>
      <c r="AA57" s="8">
        <v>5270</v>
      </c>
      <c r="AB57" s="4">
        <v>2219</v>
      </c>
      <c r="AC57" s="4">
        <v>0.06</v>
      </c>
      <c r="AD57" s="5">
        <v>0.92500000000000004</v>
      </c>
      <c r="AE57" s="16">
        <v>0</v>
      </c>
      <c r="AF57" s="4">
        <v>0</v>
      </c>
      <c r="AG57" s="4">
        <v>0.92500000000000004</v>
      </c>
      <c r="AH57" s="4">
        <v>2.88</v>
      </c>
      <c r="AI57" s="4">
        <v>2.93431</v>
      </c>
      <c r="AJ57" s="4">
        <v>1.4999999999999999E-4</v>
      </c>
      <c r="AK57" s="4">
        <v>-1.8000000000000001E-4</v>
      </c>
      <c r="AL57" s="4">
        <v>0</v>
      </c>
      <c r="AM57" s="4">
        <v>0</v>
      </c>
      <c r="AN57" s="4">
        <v>0.41499999999999998</v>
      </c>
      <c r="AO57" s="5">
        <f t="shared" si="5"/>
        <v>0.39316888045540799</v>
      </c>
      <c r="AP57" s="8">
        <f t="shared" si="6"/>
        <v>147</v>
      </c>
      <c r="AQ57" s="6">
        <f t="shared" si="0"/>
        <v>0.78609625668449201</v>
      </c>
      <c r="AR57" s="5">
        <f t="shared" si="7"/>
        <v>0.42106261859582544</v>
      </c>
      <c r="AS57" s="5">
        <f t="shared" si="8"/>
        <v>0.49779884862851337</v>
      </c>
      <c r="AT57" s="5">
        <f t="shared" si="11"/>
        <v>2.9563723522197473E-2</v>
      </c>
      <c r="AU57" s="5">
        <f t="shared" si="10"/>
        <v>-7.7694040867065606E-2</v>
      </c>
      <c r="AV57" s="4">
        <f t="shared" si="12"/>
        <v>0</v>
      </c>
      <c r="AW57" s="4">
        <f t="shared" si="13"/>
        <v>5</v>
      </c>
      <c r="AX57" s="4">
        <f t="shared" si="14"/>
        <v>0</v>
      </c>
      <c r="AY57" s="4">
        <f t="shared" si="15"/>
        <v>0</v>
      </c>
      <c r="AZ57" s="4">
        <f t="shared" si="9"/>
        <v>0</v>
      </c>
    </row>
    <row r="58" spans="1:52" x14ac:dyDescent="0.3">
      <c r="A58" s="4" t="s">
        <v>52</v>
      </c>
      <c r="B58" s="4" t="s">
        <v>56</v>
      </c>
      <c r="C58" s="4" t="s">
        <v>54</v>
      </c>
      <c r="D58" s="4" t="s">
        <v>57</v>
      </c>
      <c r="E58" s="4" t="s">
        <v>55</v>
      </c>
      <c r="F58" s="4">
        <v>2</v>
      </c>
      <c r="G58" s="4">
        <v>0.04</v>
      </c>
      <c r="H58" s="4" t="b">
        <v>0</v>
      </c>
      <c r="I58" s="4" t="b">
        <v>0</v>
      </c>
      <c r="J58" s="4" t="b">
        <v>0</v>
      </c>
      <c r="K58" s="4">
        <v>2.9529999999999998</v>
      </c>
      <c r="L58" s="4">
        <v>5.1999999999999998E-2</v>
      </c>
      <c r="M58" s="4">
        <v>-5.8000000000000003E-2</v>
      </c>
      <c r="N58" s="4">
        <v>0</v>
      </c>
      <c r="O58" s="4">
        <v>0</v>
      </c>
      <c r="P58" s="4">
        <v>5.0000000000000001E-3</v>
      </c>
      <c r="Q58" s="5">
        <v>1E-3</v>
      </c>
      <c r="R58" s="5">
        <v>0.18</v>
      </c>
      <c r="S58" s="9">
        <v>797.20799999999997</v>
      </c>
      <c r="T58" s="4">
        <v>1838.375</v>
      </c>
      <c r="U58" s="4">
        <v>1.629</v>
      </c>
      <c r="V58" s="4">
        <v>2.1840000000000002</v>
      </c>
      <c r="W58" s="4">
        <v>1.62</v>
      </c>
      <c r="X58" s="4">
        <v>3.976</v>
      </c>
      <c r="Y58" s="4">
        <v>9.4130000000000003</v>
      </c>
      <c r="Z58" s="8">
        <v>2111</v>
      </c>
      <c r="AA58" s="8">
        <v>5270</v>
      </c>
      <c r="AB58" s="4">
        <v>2257</v>
      </c>
      <c r="AC58" s="4">
        <v>0.06</v>
      </c>
      <c r="AD58" s="5">
        <v>0.92500000000000004</v>
      </c>
      <c r="AE58" s="16">
        <v>0.08</v>
      </c>
      <c r="AF58" s="4">
        <v>0</v>
      </c>
      <c r="AG58" s="4">
        <v>1</v>
      </c>
      <c r="AH58" s="4">
        <v>2.94</v>
      </c>
      <c r="AI58" s="4">
        <v>2.9411100000000001</v>
      </c>
      <c r="AJ58" s="4">
        <v>5.1999999999999995E-4</v>
      </c>
      <c r="AK58" s="4">
        <v>8.0000000000000007E-5</v>
      </c>
      <c r="AL58" s="4">
        <v>0</v>
      </c>
      <c r="AM58" s="4">
        <v>0</v>
      </c>
      <c r="AN58" s="4">
        <v>0.30599999999999999</v>
      </c>
      <c r="AO58" s="5">
        <f t="shared" si="5"/>
        <v>0.40056925996204934</v>
      </c>
      <c r="AP58" s="8">
        <f t="shared" si="6"/>
        <v>146</v>
      </c>
      <c r="AQ58" s="6">
        <f t="shared" si="0"/>
        <v>0.78074866310160429</v>
      </c>
      <c r="AR58" s="5">
        <f t="shared" si="7"/>
        <v>0.42827324478178369</v>
      </c>
      <c r="AS58" s="5">
        <f t="shared" si="8"/>
        <v>0.4944124619031493</v>
      </c>
      <c r="AT58" s="5">
        <f t="shared" si="11"/>
        <v>1.4358067017977923E-2</v>
      </c>
      <c r="AU58" s="5">
        <f t="shared" si="10"/>
        <v>-7.6028282521097737E-2</v>
      </c>
      <c r="AV58" s="4">
        <f t="shared" si="12"/>
        <v>0</v>
      </c>
      <c r="AW58" s="4">
        <f t="shared" si="13"/>
        <v>5</v>
      </c>
      <c r="AX58" s="4">
        <f t="shared" si="14"/>
        <v>0</v>
      </c>
      <c r="AY58" s="4">
        <f t="shared" si="15"/>
        <v>0</v>
      </c>
      <c r="AZ58" s="4">
        <f t="shared" si="9"/>
        <v>0</v>
      </c>
    </row>
    <row r="59" spans="1:52" x14ac:dyDescent="0.3">
      <c r="A59" s="4" t="s">
        <v>52</v>
      </c>
      <c r="B59" s="4" t="s">
        <v>56</v>
      </c>
      <c r="C59" s="4" t="s">
        <v>54</v>
      </c>
      <c r="D59" s="4" t="s">
        <v>56</v>
      </c>
      <c r="E59" s="4" t="s">
        <v>55</v>
      </c>
      <c r="F59" s="4">
        <v>2</v>
      </c>
      <c r="G59" s="4">
        <v>0.04</v>
      </c>
      <c r="H59" s="4" t="b">
        <v>0</v>
      </c>
      <c r="I59" s="4" t="b">
        <v>0</v>
      </c>
      <c r="J59" s="4" t="b">
        <v>0</v>
      </c>
      <c r="K59" s="4">
        <v>2.9529999999999998</v>
      </c>
      <c r="L59" s="4">
        <v>5.1999999999999998E-2</v>
      </c>
      <c r="M59" s="4">
        <v>-5.8000000000000003E-2</v>
      </c>
      <c r="N59" s="4">
        <v>21925.964</v>
      </c>
      <c r="O59" s="4">
        <v>0.14399999999999999</v>
      </c>
      <c r="P59" s="4">
        <v>5.0000000000000001E-3</v>
      </c>
      <c r="Q59" s="5">
        <v>1E-3</v>
      </c>
      <c r="R59" s="5">
        <v>0.18</v>
      </c>
      <c r="S59" s="9">
        <v>810.82</v>
      </c>
      <c r="T59" s="4">
        <v>1838.375</v>
      </c>
      <c r="U59" s="4">
        <v>1.839</v>
      </c>
      <c r="V59" s="4">
        <v>2.0910000000000002</v>
      </c>
      <c r="W59" s="4">
        <v>1.38</v>
      </c>
      <c r="X59" s="4">
        <v>3.476</v>
      </c>
      <c r="Y59" s="4">
        <v>8.7889999999999997</v>
      </c>
      <c r="Z59" s="8">
        <v>2151</v>
      </c>
      <c r="AA59" s="8">
        <v>5270</v>
      </c>
      <c r="AB59" s="4">
        <v>2298</v>
      </c>
      <c r="AC59" s="4">
        <v>0.06</v>
      </c>
      <c r="AD59" s="5">
        <v>0.93500000000000005</v>
      </c>
      <c r="AE59" s="16">
        <v>0</v>
      </c>
      <c r="AF59" s="4">
        <v>0</v>
      </c>
      <c r="AG59" s="4">
        <v>0.93500000000000005</v>
      </c>
      <c r="AH59" s="4">
        <v>2.96</v>
      </c>
      <c r="AI59" s="4">
        <v>2.93458</v>
      </c>
      <c r="AJ59" s="4">
        <v>-4.8000000000000001E-4</v>
      </c>
      <c r="AK59" s="4">
        <v>-1.4999999999999999E-4</v>
      </c>
      <c r="AL59" s="4">
        <v>0</v>
      </c>
      <c r="AM59" s="4">
        <v>0</v>
      </c>
      <c r="AN59" s="4">
        <v>0.39300000000000002</v>
      </c>
      <c r="AO59" s="5">
        <f t="shared" si="5"/>
        <v>0.4081593927893738</v>
      </c>
      <c r="AP59" s="8">
        <f t="shared" si="6"/>
        <v>147</v>
      </c>
      <c r="AQ59" s="6">
        <f t="shared" si="0"/>
        <v>0.78609625668449201</v>
      </c>
      <c r="AR59" s="5">
        <f t="shared" si="7"/>
        <v>0.43605313092979125</v>
      </c>
      <c r="AS59" s="5">
        <f t="shared" si="8"/>
        <v>0.49779884862851337</v>
      </c>
      <c r="AT59" s="5">
        <f t="shared" si="11"/>
        <v>2.9050985031495325E-2</v>
      </c>
      <c r="AU59" s="5">
        <f t="shared" si="10"/>
        <v>7.3464590067586988E-2</v>
      </c>
      <c r="AV59" s="4">
        <f t="shared" si="12"/>
        <v>0</v>
      </c>
      <c r="AW59" s="4">
        <f t="shared" si="13"/>
        <v>5</v>
      </c>
      <c r="AX59" s="4">
        <f t="shared" si="14"/>
        <v>0</v>
      </c>
      <c r="AY59" s="4">
        <f t="shared" si="15"/>
        <v>0</v>
      </c>
      <c r="AZ59" s="4">
        <f t="shared" si="9"/>
        <v>0</v>
      </c>
    </row>
    <row r="60" spans="1:52" x14ac:dyDescent="0.3">
      <c r="A60" s="4" t="s">
        <v>52</v>
      </c>
      <c r="B60" s="4" t="s">
        <v>56</v>
      </c>
      <c r="C60" s="4" t="s">
        <v>54</v>
      </c>
      <c r="D60" s="4" t="s">
        <v>56</v>
      </c>
      <c r="E60" s="4" t="s">
        <v>55</v>
      </c>
      <c r="F60" s="4">
        <v>2</v>
      </c>
      <c r="G60" s="4">
        <v>0.04</v>
      </c>
      <c r="H60" s="4" t="b">
        <v>0</v>
      </c>
      <c r="I60" s="4" t="b">
        <v>0</v>
      </c>
      <c r="J60" s="4" t="b">
        <v>0</v>
      </c>
      <c r="K60" s="4">
        <v>2.9529999999999998</v>
      </c>
      <c r="L60" s="4">
        <v>5.1999999999999998E-2</v>
      </c>
      <c r="M60" s="4">
        <v>-5.8000000000000003E-2</v>
      </c>
      <c r="N60" s="4">
        <v>-40506.587</v>
      </c>
      <c r="O60" s="4">
        <v>-7.6999999999999999E-2</v>
      </c>
      <c r="P60" s="4">
        <v>5.0000000000000001E-3</v>
      </c>
      <c r="Q60" s="5">
        <v>1E-3</v>
      </c>
      <c r="R60" s="5">
        <v>0.18</v>
      </c>
      <c r="S60" s="9">
        <v>823.76800000000003</v>
      </c>
      <c r="T60" s="4">
        <v>1838.375</v>
      </c>
      <c r="U60" s="4">
        <v>1.5820000000000001</v>
      </c>
      <c r="V60" s="4">
        <v>2.677</v>
      </c>
      <c r="W60" s="4">
        <v>1.4410000000000001</v>
      </c>
      <c r="X60" s="4">
        <v>3.66</v>
      </c>
      <c r="Y60" s="4">
        <v>9.3629999999999995</v>
      </c>
      <c r="Z60" s="8">
        <v>2190</v>
      </c>
      <c r="AA60" s="8">
        <v>5270</v>
      </c>
      <c r="AB60" s="4">
        <v>2337</v>
      </c>
      <c r="AC60" s="4">
        <v>0.06</v>
      </c>
      <c r="AD60" s="5">
        <v>0.93</v>
      </c>
      <c r="AE60" s="16">
        <v>0</v>
      </c>
      <c r="AF60" s="4">
        <v>0</v>
      </c>
      <c r="AG60" s="4">
        <v>0.93</v>
      </c>
      <c r="AH60" s="4">
        <v>2.94</v>
      </c>
      <c r="AI60" s="4">
        <v>2.9568300000000001</v>
      </c>
      <c r="AJ60" s="4">
        <v>1.72E-3</v>
      </c>
      <c r="AK60" s="4">
        <v>2.7999999999999998E-4</v>
      </c>
      <c r="AL60" s="4">
        <v>0</v>
      </c>
      <c r="AM60" s="4">
        <v>0</v>
      </c>
      <c r="AN60" s="4">
        <v>0.27300000000000002</v>
      </c>
      <c r="AO60" s="5">
        <f t="shared" si="5"/>
        <v>0.41555977229601521</v>
      </c>
      <c r="AP60" s="8">
        <f t="shared" si="6"/>
        <v>147</v>
      </c>
      <c r="AQ60" s="6">
        <f t="shared" si="0"/>
        <v>0.78609625668449201</v>
      </c>
      <c r="AR60" s="5">
        <f t="shared" si="7"/>
        <v>0.44345351043643266</v>
      </c>
      <c r="AS60" s="5">
        <f t="shared" si="8"/>
        <v>0.49779884862851337</v>
      </c>
      <c r="AT60" s="5">
        <f t="shared" si="11"/>
        <v>-6.9763909463878564E-4</v>
      </c>
      <c r="AU60" s="5">
        <f t="shared" si="10"/>
        <v>0</v>
      </c>
      <c r="AV60" s="4">
        <f t="shared" si="12"/>
        <v>0</v>
      </c>
      <c r="AW60" s="4">
        <f t="shared" si="13"/>
        <v>5</v>
      </c>
      <c r="AX60" s="4">
        <f t="shared" si="14"/>
        <v>0</v>
      </c>
      <c r="AY60" s="4">
        <f t="shared" si="15"/>
        <v>0</v>
      </c>
      <c r="AZ60" s="4">
        <f t="shared" si="9"/>
        <v>0</v>
      </c>
    </row>
    <row r="61" spans="1:52" x14ac:dyDescent="0.3">
      <c r="A61" s="4" t="s">
        <v>52</v>
      </c>
      <c r="B61" s="4" t="s">
        <v>56</v>
      </c>
      <c r="C61" s="4" t="s">
        <v>54</v>
      </c>
      <c r="D61" s="4" t="s">
        <v>56</v>
      </c>
      <c r="E61" s="4" t="s">
        <v>55</v>
      </c>
      <c r="F61" s="4">
        <v>2</v>
      </c>
      <c r="G61" s="4">
        <v>0.04</v>
      </c>
      <c r="H61" s="4" t="b">
        <v>0</v>
      </c>
      <c r="I61" s="4" t="b">
        <v>0</v>
      </c>
      <c r="J61" s="4" t="b">
        <v>0</v>
      </c>
      <c r="K61" s="4">
        <v>2.9529999999999998</v>
      </c>
      <c r="L61" s="4">
        <v>5.1999999999999998E-2</v>
      </c>
      <c r="M61" s="4">
        <v>-5.8000000000000003E-2</v>
      </c>
      <c r="N61" s="4">
        <v>41643.142999999996</v>
      </c>
      <c r="O61" s="4">
        <v>7.3999999999999996E-2</v>
      </c>
      <c r="P61" s="4">
        <v>5.0000000000000001E-3</v>
      </c>
      <c r="Q61" s="5">
        <v>1E-3</v>
      </c>
      <c r="R61" s="5">
        <v>0.18</v>
      </c>
      <c r="S61" s="9">
        <v>837.46799999999996</v>
      </c>
      <c r="T61" s="4">
        <v>1838.375</v>
      </c>
      <c r="U61" s="4">
        <v>1.643</v>
      </c>
      <c r="V61" s="4">
        <v>2.2290000000000001</v>
      </c>
      <c r="W61" s="4">
        <v>1.5169999999999999</v>
      </c>
      <c r="X61" s="4">
        <v>3.6850000000000001</v>
      </c>
      <c r="Y61" s="4">
        <v>9.077</v>
      </c>
      <c r="Z61" s="8">
        <v>2230</v>
      </c>
      <c r="AA61" s="8">
        <v>5270</v>
      </c>
      <c r="AB61" s="4">
        <v>2377</v>
      </c>
      <c r="AC61" s="4">
        <v>0.06</v>
      </c>
      <c r="AD61" s="5">
        <v>0.93500000000000005</v>
      </c>
      <c r="AE61" s="16">
        <v>0</v>
      </c>
      <c r="AF61" s="4">
        <v>0</v>
      </c>
      <c r="AG61" s="4">
        <v>0.93500000000000005</v>
      </c>
      <c r="AH61" s="4">
        <v>2.98</v>
      </c>
      <c r="AI61" s="4">
        <v>2.9569899999999998</v>
      </c>
      <c r="AJ61" s="4">
        <v>1.0000000000000001E-5</v>
      </c>
      <c r="AK61" s="4">
        <v>3.6999999999999999E-4</v>
      </c>
      <c r="AL61" s="4">
        <v>0</v>
      </c>
      <c r="AM61" s="4">
        <v>0</v>
      </c>
      <c r="AN61" s="4">
        <v>0.20399999999999999</v>
      </c>
      <c r="AO61" s="5">
        <f t="shared" si="5"/>
        <v>0.42314990512333966</v>
      </c>
      <c r="AP61" s="8">
        <f t="shared" si="6"/>
        <v>147</v>
      </c>
      <c r="AQ61" s="6">
        <f t="shared" si="0"/>
        <v>0.78609625668449201</v>
      </c>
      <c r="AR61" s="5">
        <f t="shared" si="7"/>
        <v>0.45104364326375712</v>
      </c>
      <c r="AS61" s="5">
        <f t="shared" si="8"/>
        <v>0.49779884862851337</v>
      </c>
      <c r="AT61" s="5">
        <f t="shared" si="11"/>
        <v>-1.605154666411527E-2</v>
      </c>
      <c r="AU61" s="5">
        <f t="shared" si="10"/>
        <v>0</v>
      </c>
      <c r="AV61" s="4">
        <f t="shared" si="12"/>
        <v>0</v>
      </c>
      <c r="AW61" s="4">
        <f t="shared" si="13"/>
        <v>5</v>
      </c>
      <c r="AX61" s="4">
        <f t="shared" si="14"/>
        <v>0</v>
      </c>
      <c r="AY61" s="4">
        <f t="shared" si="15"/>
        <v>0</v>
      </c>
      <c r="AZ61" s="4">
        <f t="shared" si="9"/>
        <v>0</v>
      </c>
    </row>
    <row r="62" spans="1:52" x14ac:dyDescent="0.3">
      <c r="A62" s="4" t="s">
        <v>52</v>
      </c>
      <c r="B62" s="4" t="s">
        <v>56</v>
      </c>
      <c r="C62" s="4" t="s">
        <v>54</v>
      </c>
      <c r="D62" s="4" t="s">
        <v>56</v>
      </c>
      <c r="E62" s="4" t="s">
        <v>55</v>
      </c>
      <c r="F62" s="4">
        <v>2</v>
      </c>
      <c r="G62" s="4">
        <v>0.04</v>
      </c>
      <c r="H62" s="4" t="b">
        <v>0</v>
      </c>
      <c r="I62" s="4" t="b">
        <v>0</v>
      </c>
      <c r="J62" s="4" t="b">
        <v>0</v>
      </c>
      <c r="K62" s="4">
        <v>2.9529999999999998</v>
      </c>
      <c r="L62" s="4">
        <v>5.1999999999999998E-2</v>
      </c>
      <c r="M62" s="4">
        <v>-5.8000000000000003E-2</v>
      </c>
      <c r="N62" s="4">
        <v>-40778.690999999999</v>
      </c>
      <c r="O62" s="4">
        <v>-7.4999999999999997E-2</v>
      </c>
      <c r="P62" s="4">
        <v>5.0000000000000001E-3</v>
      </c>
      <c r="Q62" s="5">
        <v>1E-3</v>
      </c>
      <c r="R62" s="5">
        <v>0.18</v>
      </c>
      <c r="S62" s="9">
        <v>850.774</v>
      </c>
      <c r="T62" s="4">
        <v>1838.375</v>
      </c>
      <c r="U62" s="4">
        <v>1.8169999999999999</v>
      </c>
      <c r="V62" s="4">
        <v>2.3370000000000002</v>
      </c>
      <c r="W62" s="4">
        <v>1.5820000000000001</v>
      </c>
      <c r="X62" s="4">
        <v>3.8450000000000002</v>
      </c>
      <c r="Y62" s="4">
        <v>9.5860000000000003</v>
      </c>
      <c r="Z62" s="8">
        <v>2269</v>
      </c>
      <c r="AA62" s="8">
        <v>5270</v>
      </c>
      <c r="AB62" s="4">
        <v>2416</v>
      </c>
      <c r="AC62" s="4">
        <v>0.06</v>
      </c>
      <c r="AD62" s="5">
        <v>0.93</v>
      </c>
      <c r="AE62" s="16">
        <v>0</v>
      </c>
      <c r="AF62" s="4">
        <v>0</v>
      </c>
      <c r="AG62" s="4">
        <v>0.93</v>
      </c>
      <c r="AH62" s="4">
        <v>2.96</v>
      </c>
      <c r="AI62" s="4">
        <v>2.95269</v>
      </c>
      <c r="AJ62" s="4">
        <v>-3.2000000000000003E-4</v>
      </c>
      <c r="AK62" s="4">
        <v>2.7999999999999998E-4</v>
      </c>
      <c r="AL62" s="4">
        <v>0</v>
      </c>
      <c r="AM62" s="4">
        <v>0</v>
      </c>
      <c r="AN62" s="4">
        <v>0.215</v>
      </c>
      <c r="AO62" s="5">
        <f t="shared" si="5"/>
        <v>0.43055028462998102</v>
      </c>
      <c r="AP62" s="8">
        <f t="shared" si="6"/>
        <v>147</v>
      </c>
      <c r="AQ62" s="6">
        <f t="shared" si="0"/>
        <v>0.78609625668449201</v>
      </c>
      <c r="AR62" s="5">
        <f t="shared" si="7"/>
        <v>0.45844402277039847</v>
      </c>
      <c r="AS62" s="5">
        <f t="shared" si="8"/>
        <v>0.49779884862851337</v>
      </c>
      <c r="AT62" s="5">
        <f t="shared" si="11"/>
        <v>-5.1273849070214981E-4</v>
      </c>
      <c r="AU62" s="5">
        <f t="shared" si="10"/>
        <v>0</v>
      </c>
      <c r="AV62" s="4">
        <f t="shared" si="12"/>
        <v>0</v>
      </c>
      <c r="AW62" s="4">
        <f t="shared" si="13"/>
        <v>5</v>
      </c>
      <c r="AX62" s="4">
        <f t="shared" si="14"/>
        <v>0</v>
      </c>
      <c r="AY62" s="4">
        <f t="shared" si="15"/>
        <v>0</v>
      </c>
      <c r="AZ62" s="4">
        <f t="shared" si="9"/>
        <v>0</v>
      </c>
    </row>
    <row r="63" spans="1:52" x14ac:dyDescent="0.3">
      <c r="A63" s="4" t="s">
        <v>52</v>
      </c>
      <c r="B63" s="4" t="s">
        <v>56</v>
      </c>
      <c r="C63" s="4" t="s">
        <v>54</v>
      </c>
      <c r="D63" s="4" t="s">
        <v>56</v>
      </c>
      <c r="E63" s="4" t="s">
        <v>55</v>
      </c>
      <c r="F63" s="4">
        <v>2</v>
      </c>
      <c r="G63" s="4">
        <v>0.04</v>
      </c>
      <c r="H63" s="4" t="b">
        <v>0</v>
      </c>
      <c r="I63" s="4" t="b">
        <v>0</v>
      </c>
      <c r="J63" s="4" t="b">
        <v>0</v>
      </c>
      <c r="K63" s="4">
        <v>2.9529999999999998</v>
      </c>
      <c r="L63" s="4">
        <v>5.1999999999999998E-2</v>
      </c>
      <c r="M63" s="4">
        <v>-5.8000000000000003E-2</v>
      </c>
      <c r="N63" s="4">
        <v>20740.913</v>
      </c>
      <c r="O63" s="4">
        <v>0.14499999999999999</v>
      </c>
      <c r="P63" s="4">
        <v>5.0000000000000001E-3</v>
      </c>
      <c r="Q63" s="5">
        <v>1E-3</v>
      </c>
      <c r="R63" s="5">
        <v>0.18</v>
      </c>
      <c r="S63" s="9">
        <v>865.27200000000005</v>
      </c>
      <c r="T63" s="4">
        <v>1838.375</v>
      </c>
      <c r="U63" s="4">
        <v>1.7749999999999999</v>
      </c>
      <c r="V63" s="4">
        <v>2.2909999999999999</v>
      </c>
      <c r="W63" s="4">
        <v>1.5549999999999999</v>
      </c>
      <c r="X63" s="4">
        <v>4.1120000000000001</v>
      </c>
      <c r="Y63" s="4">
        <v>9.7379999999999995</v>
      </c>
      <c r="Z63" s="8">
        <v>2311</v>
      </c>
      <c r="AA63" s="8">
        <v>5270</v>
      </c>
      <c r="AB63" s="4">
        <v>2457</v>
      </c>
      <c r="AC63" s="4">
        <v>0.06</v>
      </c>
      <c r="AD63" s="5">
        <v>0.94</v>
      </c>
      <c r="AE63" s="16">
        <v>0</v>
      </c>
      <c r="AF63" s="4">
        <v>0</v>
      </c>
      <c r="AG63" s="4">
        <v>0.94</v>
      </c>
      <c r="AH63" s="4">
        <v>2.94</v>
      </c>
      <c r="AI63" s="4">
        <v>2.9384399999999999</v>
      </c>
      <c r="AJ63" s="4">
        <v>-9.7999999999999997E-4</v>
      </c>
      <c r="AK63" s="4">
        <v>-4.0000000000000003E-5</v>
      </c>
      <c r="AL63" s="4">
        <v>0</v>
      </c>
      <c r="AM63" s="4">
        <v>0</v>
      </c>
      <c r="AN63" s="4">
        <v>0.193</v>
      </c>
      <c r="AO63" s="5">
        <f t="shared" si="5"/>
        <v>0.43851992409867174</v>
      </c>
      <c r="AP63" s="8">
        <f t="shared" si="6"/>
        <v>146</v>
      </c>
      <c r="AQ63" s="6">
        <f t="shared" si="0"/>
        <v>0.78074866310160429</v>
      </c>
      <c r="AR63" s="5">
        <f t="shared" si="7"/>
        <v>0.46622390891840609</v>
      </c>
      <c r="AS63" s="5">
        <f t="shared" si="8"/>
        <v>0.4944124619031493</v>
      </c>
      <c r="AT63" s="5">
        <f t="shared" si="11"/>
        <v>8.9791180576464786E-4</v>
      </c>
      <c r="AU63" s="5">
        <f t="shared" si="10"/>
        <v>-6.8975031038763748E-2</v>
      </c>
      <c r="AV63" s="4">
        <f t="shared" si="12"/>
        <v>0</v>
      </c>
      <c r="AW63" s="4">
        <f t="shared" si="13"/>
        <v>5</v>
      </c>
      <c r="AX63" s="4">
        <f t="shared" si="14"/>
        <v>0</v>
      </c>
      <c r="AY63" s="4">
        <f t="shared" si="15"/>
        <v>0</v>
      </c>
      <c r="AZ63" s="4">
        <f t="shared" si="9"/>
        <v>0</v>
      </c>
    </row>
    <row r="64" spans="1:52" x14ac:dyDescent="0.3">
      <c r="A64" s="4" t="s">
        <v>52</v>
      </c>
      <c r="B64" s="4" t="s">
        <v>56</v>
      </c>
      <c r="C64" s="4" t="s">
        <v>54</v>
      </c>
      <c r="D64" s="4" t="s">
        <v>56</v>
      </c>
      <c r="E64" s="4" t="s">
        <v>55</v>
      </c>
      <c r="F64" s="4">
        <v>2</v>
      </c>
      <c r="G64" s="4">
        <v>0.04</v>
      </c>
      <c r="H64" s="4" t="b">
        <v>0</v>
      </c>
      <c r="I64" s="4" t="b">
        <v>0</v>
      </c>
      <c r="J64" s="4" t="b">
        <v>0</v>
      </c>
      <c r="K64" s="4">
        <v>2.9529999999999998</v>
      </c>
      <c r="L64" s="4">
        <v>5.1999999999999998E-2</v>
      </c>
      <c r="M64" s="4">
        <v>-5.8000000000000003E-2</v>
      </c>
      <c r="N64" s="4">
        <v>43343.684000000001</v>
      </c>
      <c r="O64" s="4">
        <v>6.8000000000000005E-2</v>
      </c>
      <c r="P64" s="4">
        <v>5.0000000000000001E-3</v>
      </c>
      <c r="Q64" s="5">
        <v>1E-3</v>
      </c>
      <c r="R64" s="5">
        <v>0.18</v>
      </c>
      <c r="S64" s="9">
        <v>879.96199999999999</v>
      </c>
      <c r="T64" s="4">
        <v>1838.375</v>
      </c>
      <c r="U64" s="4">
        <v>1.726</v>
      </c>
      <c r="V64" s="4">
        <v>2.278</v>
      </c>
      <c r="W64" s="4">
        <v>1.502</v>
      </c>
      <c r="X64" s="4">
        <v>3.7170000000000001</v>
      </c>
      <c r="Y64" s="4">
        <v>9.2279999999999998</v>
      </c>
      <c r="Z64" s="8">
        <v>2354</v>
      </c>
      <c r="AA64" s="8">
        <v>5270</v>
      </c>
      <c r="AB64" s="4">
        <v>2500</v>
      </c>
      <c r="AC64" s="4">
        <v>0.06</v>
      </c>
      <c r="AD64" s="5">
        <v>0.94499999999999995</v>
      </c>
      <c r="AE64" s="16">
        <v>0</v>
      </c>
      <c r="AF64" s="4">
        <v>0</v>
      </c>
      <c r="AG64" s="4">
        <v>0.94499999999999995</v>
      </c>
      <c r="AH64" s="4">
        <v>2.92</v>
      </c>
      <c r="AI64" s="4">
        <v>2.93601</v>
      </c>
      <c r="AJ64" s="4">
        <v>-1.7000000000000001E-4</v>
      </c>
      <c r="AK64" s="4">
        <v>2.0000000000000002E-5</v>
      </c>
      <c r="AL64" s="4">
        <v>0</v>
      </c>
      <c r="AM64" s="4">
        <v>0</v>
      </c>
      <c r="AN64" s="4">
        <v>0.25800000000000001</v>
      </c>
      <c r="AO64" s="5">
        <f t="shared" si="5"/>
        <v>0.44667931688804552</v>
      </c>
      <c r="AP64" s="8">
        <f t="shared" si="6"/>
        <v>146</v>
      </c>
      <c r="AQ64" s="6">
        <f t="shared" si="0"/>
        <v>0.78074866310160429</v>
      </c>
      <c r="AR64" s="5">
        <f t="shared" si="7"/>
        <v>0.47438330170777987</v>
      </c>
      <c r="AS64" s="5">
        <f t="shared" si="8"/>
        <v>0.4944124619031493</v>
      </c>
      <c r="AT64" s="5">
        <f t="shared" si="11"/>
        <v>-1.3795006207752749E-2</v>
      </c>
      <c r="AU64" s="5">
        <f t="shared" si="10"/>
        <v>0</v>
      </c>
      <c r="AV64" s="4">
        <f t="shared" si="12"/>
        <v>0</v>
      </c>
      <c r="AW64" s="4">
        <f t="shared" si="13"/>
        <v>5</v>
      </c>
      <c r="AX64" s="4">
        <f t="shared" si="14"/>
        <v>0</v>
      </c>
      <c r="AY64" s="4">
        <f t="shared" si="15"/>
        <v>0</v>
      </c>
      <c r="AZ64" s="4">
        <f t="shared" si="9"/>
        <v>0</v>
      </c>
    </row>
    <row r="65" spans="1:52" x14ac:dyDescent="0.3">
      <c r="A65" s="4" t="s">
        <v>52</v>
      </c>
      <c r="B65" s="4" t="s">
        <v>56</v>
      </c>
      <c r="C65" s="4" t="s">
        <v>54</v>
      </c>
      <c r="D65" s="4" t="s">
        <v>56</v>
      </c>
      <c r="E65" s="4" t="s">
        <v>55</v>
      </c>
      <c r="F65" s="4">
        <v>2</v>
      </c>
      <c r="G65" s="4">
        <v>0.04</v>
      </c>
      <c r="H65" s="4" t="b">
        <v>0</v>
      </c>
      <c r="I65" s="4" t="b">
        <v>0</v>
      </c>
      <c r="J65" s="4" t="b">
        <v>0</v>
      </c>
      <c r="K65" s="4">
        <v>2.9529999999999998</v>
      </c>
      <c r="L65" s="4">
        <v>5.1999999999999998E-2</v>
      </c>
      <c r="M65" s="4">
        <v>-5.8000000000000003E-2</v>
      </c>
      <c r="N65" s="4">
        <v>-41358.118000000002</v>
      </c>
      <c r="O65" s="4">
        <v>-7.0999999999999994E-2</v>
      </c>
      <c r="P65" s="4">
        <v>5.0000000000000001E-3</v>
      </c>
      <c r="Q65" s="5">
        <v>1E-3</v>
      </c>
      <c r="R65" s="5">
        <v>0.18</v>
      </c>
      <c r="S65" s="9">
        <v>894.21299999999997</v>
      </c>
      <c r="T65" s="4">
        <v>1838.375</v>
      </c>
      <c r="U65" s="4">
        <v>1.61</v>
      </c>
      <c r="V65" s="4">
        <v>2.3530000000000002</v>
      </c>
      <c r="W65" s="4">
        <v>1.6970000000000001</v>
      </c>
      <c r="X65" s="4">
        <v>3.76</v>
      </c>
      <c r="Y65" s="4">
        <v>9.4239999999999995</v>
      </c>
      <c r="Z65" s="8">
        <v>2395</v>
      </c>
      <c r="AA65" s="8">
        <v>5270</v>
      </c>
      <c r="AB65" s="4">
        <v>2542</v>
      </c>
      <c r="AC65" s="4">
        <v>0.06</v>
      </c>
      <c r="AD65" s="5">
        <v>0.94</v>
      </c>
      <c r="AE65" s="16">
        <v>0</v>
      </c>
      <c r="AF65" s="4">
        <v>0</v>
      </c>
      <c r="AG65" s="4">
        <v>0.94</v>
      </c>
      <c r="AH65" s="4">
        <v>2.9</v>
      </c>
      <c r="AI65" s="4">
        <v>2.9100799999999998</v>
      </c>
      <c r="AJ65" s="4">
        <v>-1.82E-3</v>
      </c>
      <c r="AK65" s="4">
        <v>-6.6E-4</v>
      </c>
      <c r="AL65" s="4">
        <v>0</v>
      </c>
      <c r="AM65" s="4">
        <v>0</v>
      </c>
      <c r="AN65" s="4">
        <v>0.27300000000000002</v>
      </c>
      <c r="AO65" s="5">
        <f t="shared" si="5"/>
        <v>0.45445920303605314</v>
      </c>
      <c r="AP65" s="8">
        <f t="shared" si="6"/>
        <v>147</v>
      </c>
      <c r="AQ65" s="6">
        <f t="shared" si="0"/>
        <v>0.78609625668449201</v>
      </c>
      <c r="AR65" s="5">
        <f t="shared" si="7"/>
        <v>0.4823529411764706</v>
      </c>
      <c r="AS65" s="5">
        <f t="shared" si="8"/>
        <v>0.49779884862851337</v>
      </c>
      <c r="AT65" s="5">
        <f t="shared" si="11"/>
        <v>2.3909666222131088E-4</v>
      </c>
      <c r="AU65" s="5">
        <f t="shared" si="10"/>
        <v>7.0170514349870303E-2</v>
      </c>
      <c r="AV65" s="4">
        <f t="shared" si="12"/>
        <v>0</v>
      </c>
      <c r="AW65" s="4">
        <f t="shared" si="13"/>
        <v>5</v>
      </c>
      <c r="AX65" s="4">
        <f t="shared" si="14"/>
        <v>0</v>
      </c>
      <c r="AY65" s="4">
        <f t="shared" si="15"/>
        <v>0</v>
      </c>
      <c r="AZ65" s="4">
        <f t="shared" si="9"/>
        <v>0</v>
      </c>
    </row>
    <row r="66" spans="1:52" x14ac:dyDescent="0.3">
      <c r="A66" s="4" t="s">
        <v>52</v>
      </c>
      <c r="B66" s="4" t="s">
        <v>56</v>
      </c>
      <c r="C66" s="4" t="s">
        <v>54</v>
      </c>
      <c r="D66" s="4" t="s">
        <v>56</v>
      </c>
      <c r="E66" s="4" t="s">
        <v>55</v>
      </c>
      <c r="F66" s="4">
        <v>2</v>
      </c>
      <c r="G66" s="4">
        <v>0.04</v>
      </c>
      <c r="H66" s="4" t="b">
        <v>0</v>
      </c>
      <c r="I66" s="4" t="b">
        <v>0</v>
      </c>
      <c r="J66" s="4" t="b">
        <v>0</v>
      </c>
      <c r="K66" s="4">
        <v>2.9529999999999998</v>
      </c>
      <c r="L66" s="4">
        <v>5.1999999999999998E-2</v>
      </c>
      <c r="M66" s="4">
        <v>-5.8000000000000003E-2</v>
      </c>
      <c r="N66" s="4">
        <v>20767.325000000001</v>
      </c>
      <c r="O66" s="4">
        <v>0.13800000000000001</v>
      </c>
      <c r="P66" s="4">
        <v>5.0000000000000001E-3</v>
      </c>
      <c r="Q66" s="5">
        <v>1E-3</v>
      </c>
      <c r="R66" s="5">
        <v>0.18</v>
      </c>
      <c r="S66" s="9">
        <v>908.35599999999999</v>
      </c>
      <c r="T66" s="4">
        <v>1838.375</v>
      </c>
      <c r="U66" s="4">
        <v>1.635</v>
      </c>
      <c r="V66" s="4">
        <v>2.4489999999999998</v>
      </c>
      <c r="W66" s="4">
        <v>3.63</v>
      </c>
      <c r="X66" s="4">
        <v>4.3010000000000002</v>
      </c>
      <c r="Y66" s="4">
        <v>12.021000000000001</v>
      </c>
      <c r="Z66" s="8">
        <v>2436</v>
      </c>
      <c r="AA66" s="8">
        <v>5270</v>
      </c>
      <c r="AB66" s="4">
        <v>2585</v>
      </c>
      <c r="AC66" s="4">
        <v>0.06</v>
      </c>
      <c r="AD66" s="5">
        <v>0.95</v>
      </c>
      <c r="AE66" s="16">
        <v>0</v>
      </c>
      <c r="AF66" s="4">
        <v>0</v>
      </c>
      <c r="AG66" s="4">
        <v>0.95</v>
      </c>
      <c r="AH66" s="4">
        <v>2.92</v>
      </c>
      <c r="AI66" s="4">
        <v>2.90598</v>
      </c>
      <c r="AJ66" s="4">
        <v>-2.9E-4</v>
      </c>
      <c r="AK66" s="4">
        <v>-7.2000000000000005E-4</v>
      </c>
      <c r="AL66" s="4">
        <v>0</v>
      </c>
      <c r="AM66" s="4">
        <v>0</v>
      </c>
      <c r="AN66" s="4">
        <v>0.28000000000000003</v>
      </c>
      <c r="AO66" s="5">
        <f t="shared" si="5"/>
        <v>0.4622390891840607</v>
      </c>
      <c r="AP66" s="8">
        <f t="shared" si="6"/>
        <v>149</v>
      </c>
      <c r="AQ66" s="6">
        <f t="shared" ref="AQ66:AQ129" si="16">AP66/MAX(AP:AP)</f>
        <v>0.79679144385026734</v>
      </c>
      <c r="AR66" s="5">
        <f t="shared" si="7"/>
        <v>0.49051233396584443</v>
      </c>
      <c r="AS66" s="5">
        <f t="shared" si="8"/>
        <v>0.50457162207924144</v>
      </c>
      <c r="AT66" s="5">
        <f t="shared" si="11"/>
        <v>2.8521639262801046E-2</v>
      </c>
      <c r="AU66" s="5">
        <f t="shared" si="10"/>
        <v>0.14141271300289868</v>
      </c>
      <c r="AV66" s="4">
        <f t="shared" ref="AV66:AV97" si="17">IF(B66="ACCELERATION",5,0)</f>
        <v>0</v>
      </c>
      <c r="AW66" s="4">
        <f t="shared" ref="AW66:AW97" si="18">IF(B66="CRUISING",5,0)</f>
        <v>5</v>
      </c>
      <c r="AX66" s="4">
        <f t="shared" ref="AX66:AX97" si="19">IF(B66="DECELERATION",5,0)</f>
        <v>0</v>
      </c>
      <c r="AY66" s="4">
        <f t="shared" ref="AY66:AY97" si="20">IF(B66="END",5,0)</f>
        <v>0</v>
      </c>
      <c r="AZ66" s="4">
        <f t="shared" si="9"/>
        <v>0</v>
      </c>
    </row>
    <row r="67" spans="1:52" x14ac:dyDescent="0.3">
      <c r="A67" s="4" t="s">
        <v>52</v>
      </c>
      <c r="B67" s="4" t="s">
        <v>56</v>
      </c>
      <c r="C67" s="4" t="s">
        <v>54</v>
      </c>
      <c r="D67" s="4" t="s">
        <v>56</v>
      </c>
      <c r="E67" s="4" t="s">
        <v>55</v>
      </c>
      <c r="F67" s="4">
        <v>2</v>
      </c>
      <c r="G67" s="4">
        <v>0.04</v>
      </c>
      <c r="H67" s="4" t="b">
        <v>0</v>
      </c>
      <c r="I67" s="4" t="b">
        <v>0</v>
      </c>
      <c r="J67" s="4" t="b">
        <v>0</v>
      </c>
      <c r="K67" s="4">
        <v>2.9529999999999998</v>
      </c>
      <c r="L67" s="4">
        <v>5.1999999999999998E-2</v>
      </c>
      <c r="M67" s="4">
        <v>-5.8000000000000003E-2</v>
      </c>
      <c r="N67" s="4">
        <v>5933.3190000000004</v>
      </c>
      <c r="O67" s="4">
        <v>0.47799999999999998</v>
      </c>
      <c r="P67" s="4">
        <v>5.0000000000000001E-3</v>
      </c>
      <c r="Q67" s="5">
        <v>1E-3</v>
      </c>
      <c r="R67" s="5">
        <v>0.18</v>
      </c>
      <c r="S67" s="9">
        <v>925.19600000000003</v>
      </c>
      <c r="T67" s="4">
        <v>1838.375</v>
      </c>
      <c r="U67" s="4">
        <v>1.595</v>
      </c>
      <c r="V67" s="4">
        <v>2.2949999999999999</v>
      </c>
      <c r="W67" s="4">
        <v>1.5660000000000001</v>
      </c>
      <c r="X67" s="4">
        <v>4.8650000000000002</v>
      </c>
      <c r="Y67" s="4">
        <v>10.324999999999999</v>
      </c>
      <c r="Z67" s="8">
        <v>2485</v>
      </c>
      <c r="AA67" s="8">
        <v>5270</v>
      </c>
      <c r="AB67" s="4">
        <v>2634</v>
      </c>
      <c r="AC67" s="4">
        <v>0.06</v>
      </c>
      <c r="AD67" s="5">
        <v>0.99</v>
      </c>
      <c r="AE67" s="16">
        <v>0</v>
      </c>
      <c r="AF67" s="4">
        <v>0</v>
      </c>
      <c r="AG67" s="4">
        <v>0.99</v>
      </c>
      <c r="AH67" s="4">
        <v>2.9</v>
      </c>
      <c r="AI67" s="4">
        <v>2.9023599999999998</v>
      </c>
      <c r="AJ67" s="4">
        <v>-2.1000000000000001E-4</v>
      </c>
      <c r="AK67" s="4">
        <v>-6.8000000000000005E-4</v>
      </c>
      <c r="AL67" s="4">
        <v>0</v>
      </c>
      <c r="AM67" s="4">
        <v>0</v>
      </c>
      <c r="AN67" s="4">
        <v>0.27700000000000002</v>
      </c>
      <c r="AO67" s="5">
        <f t="shared" ref="AO67:AO130" si="21">Z67/AA67</f>
        <v>0.47153700189753323</v>
      </c>
      <c r="AP67" s="8">
        <f t="shared" ref="AP67:AP130" si="22">AB67-Z67</f>
        <v>149</v>
      </c>
      <c r="AQ67" s="6">
        <f t="shared" si="16"/>
        <v>0.79679144385026734</v>
      </c>
      <c r="AR67" s="5">
        <f t="shared" ref="AR67:AR130" si="23">AB67/AA67</f>
        <v>0.49981024667931689</v>
      </c>
      <c r="AS67" s="5">
        <f t="shared" ref="AS67:AS130" si="24">AP67/(100*K67)</f>
        <v>0.50457162207924144</v>
      </c>
      <c r="AT67" s="5">
        <f t="shared" si="11"/>
        <v>2.8521639262801046E-2</v>
      </c>
      <c r="AU67" s="5">
        <f t="shared" si="10"/>
        <v>0</v>
      </c>
      <c r="AV67" s="4">
        <f t="shared" si="17"/>
        <v>0</v>
      </c>
      <c r="AW67" s="4">
        <f t="shared" si="18"/>
        <v>5</v>
      </c>
      <c r="AX67" s="4">
        <f t="shared" si="19"/>
        <v>0</v>
      </c>
      <c r="AY67" s="4">
        <f t="shared" si="20"/>
        <v>0</v>
      </c>
      <c r="AZ67" s="4">
        <f t="shared" ref="AZ67:AZ130" si="25">IF(ABS(Z67-AA67)&lt;5,5,0)</f>
        <v>0</v>
      </c>
    </row>
    <row r="68" spans="1:52" x14ac:dyDescent="0.3">
      <c r="A68" s="4" t="s">
        <v>52</v>
      </c>
      <c r="B68" s="4" t="s">
        <v>56</v>
      </c>
      <c r="C68" s="4" t="s">
        <v>54</v>
      </c>
      <c r="D68" s="4" t="s">
        <v>56</v>
      </c>
      <c r="E68" s="4" t="s">
        <v>55</v>
      </c>
      <c r="F68" s="4">
        <v>2</v>
      </c>
      <c r="G68" s="4">
        <v>0.04</v>
      </c>
      <c r="H68" s="4" t="b">
        <v>0</v>
      </c>
      <c r="I68" s="4" t="b">
        <v>0</v>
      </c>
      <c r="J68" s="4" t="b">
        <v>0</v>
      </c>
      <c r="K68" s="4">
        <v>2.9529999999999998</v>
      </c>
      <c r="L68" s="4">
        <v>5.1999999999999998E-2</v>
      </c>
      <c r="M68" s="4">
        <v>-5.8000000000000003E-2</v>
      </c>
      <c r="N68" s="4">
        <v>-10537.455</v>
      </c>
      <c r="O68" s="4">
        <v>-0.26400000000000001</v>
      </c>
      <c r="P68" s="4">
        <v>5.0000000000000001E-3</v>
      </c>
      <c r="Q68" s="5">
        <v>1E-3</v>
      </c>
      <c r="R68" s="5">
        <v>0.18</v>
      </c>
      <c r="S68" s="9">
        <v>940.41200000000003</v>
      </c>
      <c r="T68" s="4">
        <v>1838.375</v>
      </c>
      <c r="U68" s="4">
        <v>1.621</v>
      </c>
      <c r="V68" s="4">
        <v>2.302</v>
      </c>
      <c r="W68" s="4">
        <v>1.5049999999999999</v>
      </c>
      <c r="X68" s="4">
        <v>4.3410000000000002</v>
      </c>
      <c r="Y68" s="4">
        <v>9.7729999999999997</v>
      </c>
      <c r="Z68" s="8">
        <v>2530</v>
      </c>
      <c r="AA68" s="8">
        <v>5270</v>
      </c>
      <c r="AB68" s="4">
        <v>2679</v>
      </c>
      <c r="AC68" s="4">
        <v>0.06</v>
      </c>
      <c r="AD68" s="5">
        <v>0.97</v>
      </c>
      <c r="AE68" s="16">
        <v>0</v>
      </c>
      <c r="AF68" s="4">
        <v>0</v>
      </c>
      <c r="AG68" s="4">
        <v>0.97</v>
      </c>
      <c r="AH68" s="4">
        <v>2.92</v>
      </c>
      <c r="AI68" s="4">
        <v>2.9145500000000002</v>
      </c>
      <c r="AJ68" s="4">
        <v>8.0000000000000004E-4</v>
      </c>
      <c r="AK68" s="4">
        <v>-3.2000000000000003E-4</v>
      </c>
      <c r="AL68" s="4">
        <v>0</v>
      </c>
      <c r="AM68" s="4">
        <v>0</v>
      </c>
      <c r="AN68" s="4">
        <v>0.44400000000000001</v>
      </c>
      <c r="AO68" s="5">
        <f t="shared" si="21"/>
        <v>0.48007590132827327</v>
      </c>
      <c r="AP68" s="8">
        <f t="shared" si="22"/>
        <v>149</v>
      </c>
      <c r="AQ68" s="6">
        <f t="shared" si="16"/>
        <v>0.79679144385026734</v>
      </c>
      <c r="AR68" s="5">
        <f t="shared" si="23"/>
        <v>0.50834914611005688</v>
      </c>
      <c r="AS68" s="5">
        <f t="shared" si="24"/>
        <v>0.50457162207924144</v>
      </c>
      <c r="AT68" s="5">
        <f t="shared" si="11"/>
        <v>4.231664547055379E-2</v>
      </c>
      <c r="AU68" s="5">
        <f t="shared" ref="AU68:AU131" si="26">(AP68-AP67)/(S68-S67)</f>
        <v>0</v>
      </c>
      <c r="AV68" s="4">
        <f t="shared" si="17"/>
        <v>0</v>
      </c>
      <c r="AW68" s="4">
        <f t="shared" si="18"/>
        <v>5</v>
      </c>
      <c r="AX68" s="4">
        <f t="shared" si="19"/>
        <v>0</v>
      </c>
      <c r="AY68" s="4">
        <f t="shared" si="20"/>
        <v>0</v>
      </c>
      <c r="AZ68" s="4">
        <f t="shared" si="25"/>
        <v>0</v>
      </c>
    </row>
    <row r="69" spans="1:52" x14ac:dyDescent="0.3">
      <c r="A69" s="4" t="s">
        <v>52</v>
      </c>
      <c r="B69" s="4" t="s">
        <v>56</v>
      </c>
      <c r="C69" s="4" t="s">
        <v>54</v>
      </c>
      <c r="D69" s="4" t="s">
        <v>56</v>
      </c>
      <c r="E69" s="4" t="s">
        <v>55</v>
      </c>
      <c r="F69" s="4">
        <v>2</v>
      </c>
      <c r="G69" s="4">
        <v>0.04</v>
      </c>
      <c r="H69" s="4" t="b">
        <v>0</v>
      </c>
      <c r="I69" s="4" t="b">
        <v>0</v>
      </c>
      <c r="J69" s="4" t="b">
        <v>0</v>
      </c>
      <c r="K69" s="4">
        <v>2.9529999999999998</v>
      </c>
      <c r="L69" s="4">
        <v>5.1999999999999998E-2</v>
      </c>
      <c r="M69" s="4">
        <v>-5.8000000000000003E-2</v>
      </c>
      <c r="N69" s="4">
        <v>-20089.454000000002</v>
      </c>
      <c r="O69" s="4">
        <v>-0.13600000000000001</v>
      </c>
      <c r="P69" s="4">
        <v>5.0000000000000001E-3</v>
      </c>
      <c r="Q69" s="5">
        <v>1E-3</v>
      </c>
      <c r="R69" s="5">
        <v>0.18</v>
      </c>
      <c r="S69" s="9">
        <v>955.10599999999999</v>
      </c>
      <c r="T69" s="4">
        <v>1838.375</v>
      </c>
      <c r="U69" s="4">
        <v>1.5860000000000001</v>
      </c>
      <c r="V69" s="4">
        <v>2.3969999999999998</v>
      </c>
      <c r="W69" s="4">
        <v>1.7330000000000001</v>
      </c>
      <c r="X69" s="4">
        <v>3.9350000000000001</v>
      </c>
      <c r="Y69" s="4">
        <v>9.6549999999999994</v>
      </c>
      <c r="Z69" s="8">
        <v>2574</v>
      </c>
      <c r="AA69" s="8">
        <v>5270</v>
      </c>
      <c r="AB69" s="4">
        <v>2722</v>
      </c>
      <c r="AC69" s="4">
        <v>0.06</v>
      </c>
      <c r="AD69" s="5">
        <v>0.96</v>
      </c>
      <c r="AE69" s="16">
        <v>0</v>
      </c>
      <c r="AF69" s="4">
        <v>0</v>
      </c>
      <c r="AG69" s="4">
        <v>0.96</v>
      </c>
      <c r="AH69" s="4">
        <v>2.94</v>
      </c>
      <c r="AI69" s="4">
        <v>2.9277099999999998</v>
      </c>
      <c r="AJ69" s="4">
        <v>8.9999999999999998E-4</v>
      </c>
      <c r="AK69" s="4">
        <v>-1.1E-4</v>
      </c>
      <c r="AL69" s="4">
        <v>0</v>
      </c>
      <c r="AM69" s="4">
        <v>0</v>
      </c>
      <c r="AN69" s="4">
        <v>0.39</v>
      </c>
      <c r="AO69" s="5">
        <f t="shared" si="21"/>
        <v>0.48842504743833015</v>
      </c>
      <c r="AP69" s="8">
        <f t="shared" si="22"/>
        <v>148</v>
      </c>
      <c r="AQ69" s="6">
        <f t="shared" si="16"/>
        <v>0.79144385026737973</v>
      </c>
      <c r="AR69" s="5">
        <f t="shared" si="23"/>
        <v>0.51650853889943071</v>
      </c>
      <c r="AS69" s="5">
        <f t="shared" si="24"/>
        <v>0.50118523535387738</v>
      </c>
      <c r="AT69" s="5">
        <f t="shared" si="11"/>
        <v>2.870564778442336E-2</v>
      </c>
      <c r="AU69" s="5">
        <f t="shared" si="26"/>
        <v>-6.805498843065215E-2</v>
      </c>
      <c r="AV69" s="4">
        <f t="shared" si="17"/>
        <v>0</v>
      </c>
      <c r="AW69" s="4">
        <f t="shared" si="18"/>
        <v>5</v>
      </c>
      <c r="AX69" s="4">
        <f t="shared" si="19"/>
        <v>0</v>
      </c>
      <c r="AY69" s="4">
        <f t="shared" si="20"/>
        <v>0</v>
      </c>
      <c r="AZ69" s="4">
        <f t="shared" si="25"/>
        <v>0</v>
      </c>
    </row>
    <row r="70" spans="1:52" x14ac:dyDescent="0.3">
      <c r="A70" s="4" t="s">
        <v>52</v>
      </c>
      <c r="B70" s="4" t="s">
        <v>56</v>
      </c>
      <c r="C70" s="4" t="s">
        <v>54</v>
      </c>
      <c r="D70" s="4" t="s">
        <v>56</v>
      </c>
      <c r="E70" s="4" t="s">
        <v>55</v>
      </c>
      <c r="F70" s="4">
        <v>2</v>
      </c>
      <c r="G70" s="4">
        <v>0.04</v>
      </c>
      <c r="H70" s="4" t="b">
        <v>0</v>
      </c>
      <c r="I70" s="4" t="b">
        <v>0</v>
      </c>
      <c r="J70" s="4" t="b">
        <v>0</v>
      </c>
      <c r="K70" s="4">
        <v>2.9529999999999998</v>
      </c>
      <c r="L70" s="4">
        <v>5.1999999999999998E-2</v>
      </c>
      <c r="M70" s="4">
        <v>-5.8000000000000003E-2</v>
      </c>
      <c r="N70" s="4">
        <v>-39300.158000000003</v>
      </c>
      <c r="O70" s="4">
        <v>-6.9000000000000006E-2</v>
      </c>
      <c r="P70" s="4">
        <v>5.0000000000000001E-3</v>
      </c>
      <c r="Q70" s="5">
        <v>1E-3</v>
      </c>
      <c r="R70" s="5">
        <v>0.18</v>
      </c>
      <c r="S70" s="9">
        <v>970.84699999999998</v>
      </c>
      <c r="T70" s="4">
        <v>1838.375</v>
      </c>
      <c r="U70" s="4">
        <v>1.5389999999999999</v>
      </c>
      <c r="V70" s="4">
        <v>2.5990000000000002</v>
      </c>
      <c r="W70" s="4">
        <v>1.7729999999999999</v>
      </c>
      <c r="X70" s="4">
        <v>3.887</v>
      </c>
      <c r="Y70" s="4">
        <v>9.8019999999999996</v>
      </c>
      <c r="Z70" s="8">
        <v>2622</v>
      </c>
      <c r="AA70" s="8">
        <v>5270</v>
      </c>
      <c r="AB70" s="4">
        <v>2765</v>
      </c>
      <c r="AC70" s="4">
        <v>0.06</v>
      </c>
      <c r="AD70" s="5">
        <v>0.95499999999999996</v>
      </c>
      <c r="AE70" s="16">
        <v>0</v>
      </c>
      <c r="AF70" s="4">
        <v>0</v>
      </c>
      <c r="AG70" s="4">
        <v>0.95499999999999996</v>
      </c>
      <c r="AH70" s="4">
        <v>2.98</v>
      </c>
      <c r="AI70" s="4">
        <v>2.9621300000000002</v>
      </c>
      <c r="AJ70" s="4">
        <v>2.1900000000000001E-3</v>
      </c>
      <c r="AK70" s="4">
        <v>6.8000000000000005E-4</v>
      </c>
      <c r="AL70" s="4">
        <v>0</v>
      </c>
      <c r="AM70" s="4">
        <v>0</v>
      </c>
      <c r="AN70" s="4">
        <v>0.25800000000000001</v>
      </c>
      <c r="AO70" s="5">
        <f t="shared" si="21"/>
        <v>0.49753320683111957</v>
      </c>
      <c r="AP70" s="8">
        <f t="shared" si="22"/>
        <v>143</v>
      </c>
      <c r="AQ70" s="6">
        <f t="shared" si="16"/>
        <v>0.76470588235294112</v>
      </c>
      <c r="AR70" s="5">
        <f t="shared" si="23"/>
        <v>0.52466793168880455</v>
      </c>
      <c r="AS70" s="5">
        <f t="shared" si="24"/>
        <v>0.48425330172705722</v>
      </c>
      <c r="AT70" s="5">
        <f t="shared" si="11"/>
        <v>-4.8856820500708623E-2</v>
      </c>
      <c r="AU70" s="5">
        <f t="shared" si="26"/>
        <v>-0.31764182707578964</v>
      </c>
      <c r="AV70" s="4">
        <f t="shared" si="17"/>
        <v>0</v>
      </c>
      <c r="AW70" s="4">
        <f t="shared" si="18"/>
        <v>5</v>
      </c>
      <c r="AX70" s="4">
        <f t="shared" si="19"/>
        <v>0</v>
      </c>
      <c r="AY70" s="4">
        <f t="shared" si="20"/>
        <v>0</v>
      </c>
      <c r="AZ70" s="4">
        <f t="shared" si="25"/>
        <v>0</v>
      </c>
    </row>
    <row r="71" spans="1:52" x14ac:dyDescent="0.3">
      <c r="A71" s="4" t="s">
        <v>52</v>
      </c>
      <c r="B71" s="4" t="s">
        <v>56</v>
      </c>
      <c r="C71" s="4" t="s">
        <v>54</v>
      </c>
      <c r="D71" s="4" t="s">
        <v>56</v>
      </c>
      <c r="E71" s="4" t="s">
        <v>55</v>
      </c>
      <c r="F71" s="4">
        <v>2</v>
      </c>
      <c r="G71" s="4">
        <v>0.04</v>
      </c>
      <c r="H71" s="4" t="b">
        <v>0</v>
      </c>
      <c r="I71" s="4" t="b">
        <v>0</v>
      </c>
      <c r="J71" s="4" t="b">
        <v>0</v>
      </c>
      <c r="K71" s="4">
        <v>2.9529999999999998</v>
      </c>
      <c r="L71" s="4">
        <v>5.1999999999999998E-2</v>
      </c>
      <c r="M71" s="4">
        <v>-5.8000000000000003E-2</v>
      </c>
      <c r="N71" s="4">
        <v>-42069.000999999997</v>
      </c>
      <c r="O71" s="4">
        <v>-6.3E-2</v>
      </c>
      <c r="P71" s="4">
        <v>5.0000000000000001E-3</v>
      </c>
      <c r="Q71" s="5">
        <v>1E-3</v>
      </c>
      <c r="R71" s="5">
        <v>0.18</v>
      </c>
      <c r="S71" s="9">
        <v>985.548</v>
      </c>
      <c r="T71" s="4">
        <v>1838.375</v>
      </c>
      <c r="U71" s="4">
        <v>1.585</v>
      </c>
      <c r="V71" s="4">
        <v>2.2160000000000002</v>
      </c>
      <c r="W71" s="4">
        <v>1.643</v>
      </c>
      <c r="X71" s="4">
        <v>3.9420000000000002</v>
      </c>
      <c r="Y71" s="4">
        <v>9.39</v>
      </c>
      <c r="Z71" s="8">
        <v>2665</v>
      </c>
      <c r="AA71" s="8">
        <v>5270</v>
      </c>
      <c r="AB71" s="4">
        <v>2812</v>
      </c>
      <c r="AC71" s="4">
        <v>0.06</v>
      </c>
      <c r="AD71" s="5">
        <v>0.95</v>
      </c>
      <c r="AE71" s="16">
        <v>0</v>
      </c>
      <c r="AF71" s="4">
        <v>0</v>
      </c>
      <c r="AG71" s="4">
        <v>0.95</v>
      </c>
      <c r="AH71" s="4">
        <v>2.98</v>
      </c>
      <c r="AI71" s="4">
        <v>2.9666199999999998</v>
      </c>
      <c r="AJ71" s="4">
        <v>3.1E-4</v>
      </c>
      <c r="AK71" s="4">
        <v>7.9000000000000001E-4</v>
      </c>
      <c r="AL71" s="4">
        <v>0</v>
      </c>
      <c r="AM71" s="4">
        <v>0</v>
      </c>
      <c r="AN71" s="4">
        <v>0.215</v>
      </c>
      <c r="AO71" s="5">
        <f t="shared" si="21"/>
        <v>0.5056925996204934</v>
      </c>
      <c r="AP71" s="8">
        <f t="shared" si="22"/>
        <v>147</v>
      </c>
      <c r="AQ71" s="6">
        <f t="shared" si="16"/>
        <v>0.78609625668449201</v>
      </c>
      <c r="AR71" s="5">
        <f t="shared" si="23"/>
        <v>0.5335863377609108</v>
      </c>
      <c r="AS71" s="5">
        <f t="shared" si="24"/>
        <v>0.49779884862851337</v>
      </c>
      <c r="AT71" s="5">
        <f t="shared" ref="AT71:AT134" si="27">AVERAGE(AU67:AU71)</f>
        <v>-2.2721296303111448E-2</v>
      </c>
      <c r="AU71" s="5">
        <f t="shared" si="26"/>
        <v>0.27209033399088456</v>
      </c>
      <c r="AV71" s="4">
        <f t="shared" si="17"/>
        <v>0</v>
      </c>
      <c r="AW71" s="4">
        <f t="shared" si="18"/>
        <v>5</v>
      </c>
      <c r="AX71" s="4">
        <f t="shared" si="19"/>
        <v>0</v>
      </c>
      <c r="AY71" s="4">
        <f t="shared" si="20"/>
        <v>0</v>
      </c>
      <c r="AZ71" s="4">
        <f t="shared" si="25"/>
        <v>0</v>
      </c>
    </row>
    <row r="72" spans="1:52" x14ac:dyDescent="0.3">
      <c r="A72" s="4" t="s">
        <v>52</v>
      </c>
      <c r="B72" s="4" t="s">
        <v>56</v>
      </c>
      <c r="C72" s="4" t="s">
        <v>54</v>
      </c>
      <c r="D72" s="4" t="s">
        <v>57</v>
      </c>
      <c r="E72" s="4" t="s">
        <v>55</v>
      </c>
      <c r="F72" s="4">
        <v>2</v>
      </c>
      <c r="G72" s="4">
        <v>0.04</v>
      </c>
      <c r="H72" s="4" t="b">
        <v>0</v>
      </c>
      <c r="I72" s="4" t="b">
        <v>0</v>
      </c>
      <c r="J72" s="4" t="b">
        <v>0</v>
      </c>
      <c r="K72" s="4">
        <v>2.9529999999999998</v>
      </c>
      <c r="L72" s="4">
        <v>5.1999999999999998E-2</v>
      </c>
      <c r="M72" s="4">
        <v>-5.8000000000000003E-2</v>
      </c>
      <c r="N72" s="4">
        <v>0</v>
      </c>
      <c r="O72" s="4">
        <v>0</v>
      </c>
      <c r="P72" s="4">
        <v>5.0000000000000001E-3</v>
      </c>
      <c r="Q72" s="5">
        <v>1E-3</v>
      </c>
      <c r="R72" s="5">
        <v>0.18</v>
      </c>
      <c r="S72" s="9">
        <v>999.66200000000003</v>
      </c>
      <c r="T72" s="4">
        <v>1838.375</v>
      </c>
      <c r="U72" s="4">
        <v>1.5589999999999999</v>
      </c>
      <c r="V72" s="4">
        <v>2.282</v>
      </c>
      <c r="W72" s="4">
        <v>1.746</v>
      </c>
      <c r="X72" s="4">
        <v>5.2439999999999998</v>
      </c>
      <c r="Y72" s="4">
        <v>10.836</v>
      </c>
      <c r="Z72" s="8">
        <v>2707</v>
      </c>
      <c r="AA72" s="8">
        <v>5270</v>
      </c>
      <c r="AB72" s="4">
        <v>2855</v>
      </c>
      <c r="AC72" s="4">
        <v>0.06</v>
      </c>
      <c r="AD72" s="5">
        <v>0.95</v>
      </c>
      <c r="AE72" s="16">
        <v>0.08</v>
      </c>
      <c r="AF72" s="4">
        <v>0</v>
      </c>
      <c r="AG72" s="4">
        <v>1</v>
      </c>
      <c r="AH72" s="4">
        <v>2.98</v>
      </c>
      <c r="AI72" s="4">
        <v>2.9812500000000002</v>
      </c>
      <c r="AJ72" s="4">
        <v>1.0399999999999999E-3</v>
      </c>
      <c r="AK72" s="4">
        <v>1.06E-3</v>
      </c>
      <c r="AL72" s="4">
        <v>0</v>
      </c>
      <c r="AM72" s="4">
        <v>0</v>
      </c>
      <c r="AN72" s="4">
        <v>0.26600000000000001</v>
      </c>
      <c r="AO72" s="5">
        <f t="shared" si="21"/>
        <v>0.51366223908918407</v>
      </c>
      <c r="AP72" s="8">
        <f t="shared" si="22"/>
        <v>148</v>
      </c>
      <c r="AQ72" s="6">
        <f t="shared" si="16"/>
        <v>0.79144385026737973</v>
      </c>
      <c r="AR72" s="5">
        <f t="shared" si="23"/>
        <v>0.54174573055028463</v>
      </c>
      <c r="AS72" s="5">
        <f t="shared" si="24"/>
        <v>0.50118523535387738</v>
      </c>
      <c r="AT72" s="5">
        <f t="shared" si="27"/>
        <v>-8.5509689685500552E-3</v>
      </c>
      <c r="AU72" s="5">
        <f t="shared" si="26"/>
        <v>7.0851636672806972E-2</v>
      </c>
      <c r="AV72" s="4">
        <f t="shared" si="17"/>
        <v>0</v>
      </c>
      <c r="AW72" s="4">
        <f t="shared" si="18"/>
        <v>5</v>
      </c>
      <c r="AX72" s="4">
        <f t="shared" si="19"/>
        <v>0</v>
      </c>
      <c r="AY72" s="4">
        <f t="shared" si="20"/>
        <v>0</v>
      </c>
      <c r="AZ72" s="4">
        <f t="shared" si="25"/>
        <v>0</v>
      </c>
    </row>
    <row r="73" spans="1:52" x14ac:dyDescent="0.3">
      <c r="A73" s="4" t="s">
        <v>52</v>
      </c>
      <c r="B73" s="4" t="s">
        <v>56</v>
      </c>
      <c r="C73" s="4" t="s">
        <v>54</v>
      </c>
      <c r="D73" s="4" t="s">
        <v>56</v>
      </c>
      <c r="E73" s="4" t="s">
        <v>55</v>
      </c>
      <c r="F73" s="4">
        <v>2</v>
      </c>
      <c r="G73" s="4">
        <v>0.04</v>
      </c>
      <c r="H73" s="4" t="b">
        <v>0</v>
      </c>
      <c r="I73" s="4" t="b">
        <v>0</v>
      </c>
      <c r="J73" s="4" t="b">
        <v>0</v>
      </c>
      <c r="K73" s="4">
        <v>2.9529999999999998</v>
      </c>
      <c r="L73" s="4">
        <v>5.1999999999999998E-2</v>
      </c>
      <c r="M73" s="4">
        <v>-5.8000000000000003E-2</v>
      </c>
      <c r="N73" s="4">
        <v>9973.1409999999996</v>
      </c>
      <c r="O73" s="4">
        <v>0.25700000000000001</v>
      </c>
      <c r="P73" s="4">
        <v>5.0000000000000001E-3</v>
      </c>
      <c r="Q73" s="5">
        <v>1E-3</v>
      </c>
      <c r="R73" s="5">
        <v>0.18</v>
      </c>
      <c r="S73" s="9">
        <v>1017.202</v>
      </c>
      <c r="T73" s="4">
        <v>1838.375</v>
      </c>
      <c r="U73" s="4">
        <v>1.4690000000000001</v>
      </c>
      <c r="V73" s="4">
        <v>2.169</v>
      </c>
      <c r="W73" s="4">
        <v>1.7809999999999999</v>
      </c>
      <c r="X73" s="4">
        <v>3.601</v>
      </c>
      <c r="Y73" s="4">
        <v>9.0239999999999991</v>
      </c>
      <c r="Z73" s="8">
        <v>2759</v>
      </c>
      <c r="AA73" s="8">
        <v>5270</v>
      </c>
      <c r="AB73" s="4">
        <v>2901</v>
      </c>
      <c r="AC73" s="4">
        <v>0.06</v>
      </c>
      <c r="AD73" s="5">
        <v>0.97</v>
      </c>
      <c r="AE73" s="16">
        <v>0</v>
      </c>
      <c r="AF73" s="4">
        <v>0</v>
      </c>
      <c r="AG73" s="4">
        <v>0.97</v>
      </c>
      <c r="AH73" s="4">
        <v>2.96</v>
      </c>
      <c r="AI73" s="4">
        <v>2.9821399999999998</v>
      </c>
      <c r="AJ73" s="4">
        <v>5.0000000000000002E-5</v>
      </c>
      <c r="AK73" s="4">
        <v>8.8000000000000003E-4</v>
      </c>
      <c r="AL73" s="4">
        <v>0</v>
      </c>
      <c r="AM73" s="4">
        <v>0</v>
      </c>
      <c r="AN73" s="4">
        <v>0.39</v>
      </c>
      <c r="AO73" s="5">
        <f t="shared" si="21"/>
        <v>0.52352941176470591</v>
      </c>
      <c r="AP73" s="8">
        <f t="shared" si="22"/>
        <v>142</v>
      </c>
      <c r="AQ73" s="6">
        <f t="shared" si="16"/>
        <v>0.75935828877005351</v>
      </c>
      <c r="AR73" s="5">
        <f t="shared" si="23"/>
        <v>0.55047438330170773</v>
      </c>
      <c r="AS73" s="5">
        <f t="shared" si="24"/>
        <v>0.48086691500169315</v>
      </c>
      <c r="AT73" s="5">
        <f t="shared" si="27"/>
        <v>-7.6966020279838676E-2</v>
      </c>
      <c r="AU73" s="5">
        <f t="shared" si="26"/>
        <v>-0.34207525655644311</v>
      </c>
      <c r="AV73" s="4">
        <f t="shared" si="17"/>
        <v>0</v>
      </c>
      <c r="AW73" s="4">
        <f t="shared" si="18"/>
        <v>5</v>
      </c>
      <c r="AX73" s="4">
        <f t="shared" si="19"/>
        <v>0</v>
      </c>
      <c r="AY73" s="4">
        <f t="shared" si="20"/>
        <v>0</v>
      </c>
      <c r="AZ73" s="4">
        <f t="shared" si="25"/>
        <v>0</v>
      </c>
    </row>
    <row r="74" spans="1:52" x14ac:dyDescent="0.3">
      <c r="A74" s="4" t="s">
        <v>52</v>
      </c>
      <c r="B74" s="4" t="s">
        <v>56</v>
      </c>
      <c r="C74" s="4" t="s">
        <v>54</v>
      </c>
      <c r="D74" s="4" t="s">
        <v>56</v>
      </c>
      <c r="E74" s="4" t="s">
        <v>55</v>
      </c>
      <c r="F74" s="4">
        <v>2</v>
      </c>
      <c r="G74" s="4">
        <v>0.04</v>
      </c>
      <c r="H74" s="4" t="b">
        <v>0</v>
      </c>
      <c r="I74" s="4" t="b">
        <v>0</v>
      </c>
      <c r="J74" s="4" t="b">
        <v>0</v>
      </c>
      <c r="K74" s="4">
        <v>2.9529999999999998</v>
      </c>
      <c r="L74" s="4">
        <v>5.1999999999999998E-2</v>
      </c>
      <c r="M74" s="4">
        <v>-5.8000000000000003E-2</v>
      </c>
      <c r="N74" s="4">
        <v>-6580.7560000000003</v>
      </c>
      <c r="O74" s="4">
        <v>-0.38200000000000001</v>
      </c>
      <c r="P74" s="4">
        <v>5.0000000000000001E-3</v>
      </c>
      <c r="Q74" s="5">
        <v>1E-3</v>
      </c>
      <c r="R74" s="5">
        <v>0.18</v>
      </c>
      <c r="S74" s="9">
        <v>1031.598</v>
      </c>
      <c r="T74" s="4">
        <v>1838.375</v>
      </c>
      <c r="U74" s="4">
        <v>1.63</v>
      </c>
      <c r="V74" s="4">
        <v>2.3029999999999999</v>
      </c>
      <c r="W74" s="4">
        <v>1.6020000000000001</v>
      </c>
      <c r="X74" s="4">
        <v>3.718</v>
      </c>
      <c r="Y74" s="4">
        <v>9.2569999999999997</v>
      </c>
      <c r="Z74" s="8">
        <v>2802</v>
      </c>
      <c r="AA74" s="8">
        <v>5270</v>
      </c>
      <c r="AB74" s="4">
        <v>2947</v>
      </c>
      <c r="AC74" s="4">
        <v>0.06</v>
      </c>
      <c r="AD74" s="5">
        <v>0.94</v>
      </c>
      <c r="AE74" s="16">
        <v>0</v>
      </c>
      <c r="AF74" s="4">
        <v>0</v>
      </c>
      <c r="AG74" s="4">
        <v>0.94</v>
      </c>
      <c r="AH74" s="4">
        <v>2.98</v>
      </c>
      <c r="AI74" s="4">
        <v>2.9807100000000002</v>
      </c>
      <c r="AJ74" s="4">
        <v>-1E-4</v>
      </c>
      <c r="AK74" s="4">
        <v>6.8999999999999997E-4</v>
      </c>
      <c r="AL74" s="4">
        <v>0</v>
      </c>
      <c r="AM74" s="4">
        <v>0</v>
      </c>
      <c r="AN74" s="4">
        <v>0.33100000000000002</v>
      </c>
      <c r="AO74" s="5">
        <f t="shared" si="21"/>
        <v>0.53168880455407974</v>
      </c>
      <c r="AP74" s="8">
        <f t="shared" si="22"/>
        <v>145</v>
      </c>
      <c r="AQ74" s="6">
        <f t="shared" si="16"/>
        <v>0.77540106951871657</v>
      </c>
      <c r="AR74" s="5">
        <f t="shared" si="23"/>
        <v>0.55920303605313093</v>
      </c>
      <c r="AS74" s="5">
        <f t="shared" si="24"/>
        <v>0.49102607517778529</v>
      </c>
      <c r="AT74" s="5">
        <f t="shared" si="27"/>
        <v>-2.1676778637053494E-2</v>
      </c>
      <c r="AU74" s="5">
        <f t="shared" si="26"/>
        <v>0.20839121978327374</v>
      </c>
      <c r="AV74" s="4">
        <f t="shared" si="17"/>
        <v>0</v>
      </c>
      <c r="AW74" s="4">
        <f t="shared" si="18"/>
        <v>5</v>
      </c>
      <c r="AX74" s="4">
        <f t="shared" si="19"/>
        <v>0</v>
      </c>
      <c r="AY74" s="4">
        <f t="shared" si="20"/>
        <v>0</v>
      </c>
      <c r="AZ74" s="4">
        <f t="shared" si="25"/>
        <v>0</v>
      </c>
    </row>
    <row r="75" spans="1:52" x14ac:dyDescent="0.3">
      <c r="A75" s="4" t="s">
        <v>52</v>
      </c>
      <c r="B75" s="4" t="s">
        <v>56</v>
      </c>
      <c r="C75" s="4" t="s">
        <v>54</v>
      </c>
      <c r="D75" s="4" t="s">
        <v>57</v>
      </c>
      <c r="E75" s="4" t="s">
        <v>55</v>
      </c>
      <c r="F75" s="4">
        <v>2</v>
      </c>
      <c r="G75" s="4">
        <v>0.04</v>
      </c>
      <c r="H75" s="4" t="b">
        <v>0</v>
      </c>
      <c r="I75" s="4" t="b">
        <v>0</v>
      </c>
      <c r="J75" s="4" t="b">
        <v>0</v>
      </c>
      <c r="K75" s="4">
        <v>2.9529999999999998</v>
      </c>
      <c r="L75" s="4">
        <v>5.1999999999999998E-2</v>
      </c>
      <c r="M75" s="4">
        <v>-5.8000000000000003E-2</v>
      </c>
      <c r="N75" s="4">
        <v>0</v>
      </c>
      <c r="O75" s="4">
        <v>0</v>
      </c>
      <c r="P75" s="4">
        <v>5.0000000000000001E-3</v>
      </c>
      <c r="Q75" s="5">
        <v>1E-3</v>
      </c>
      <c r="R75" s="5">
        <v>0.18</v>
      </c>
      <c r="S75" s="9">
        <v>1046.2070000000001</v>
      </c>
      <c r="T75" s="4">
        <v>1838.375</v>
      </c>
      <c r="U75" s="4">
        <v>1.8560000000000001</v>
      </c>
      <c r="V75" s="4">
        <v>2.1989999999999998</v>
      </c>
      <c r="W75" s="4">
        <v>1.667</v>
      </c>
      <c r="X75" s="4">
        <v>4.0220000000000002</v>
      </c>
      <c r="Y75" s="4">
        <v>9.7479999999999993</v>
      </c>
      <c r="Z75" s="8">
        <v>2846</v>
      </c>
      <c r="AA75" s="8">
        <v>5270</v>
      </c>
      <c r="AB75" s="4">
        <v>2990</v>
      </c>
      <c r="AC75" s="4">
        <v>0.06</v>
      </c>
      <c r="AD75" s="5">
        <v>0.94</v>
      </c>
      <c r="AE75" s="16">
        <v>0.08</v>
      </c>
      <c r="AF75" s="4">
        <v>0</v>
      </c>
      <c r="AG75" s="4">
        <v>1</v>
      </c>
      <c r="AH75" s="4">
        <v>2.94</v>
      </c>
      <c r="AI75" s="4">
        <v>2.9723999999999999</v>
      </c>
      <c r="AJ75" s="4">
        <v>-5.6999999999999998E-4</v>
      </c>
      <c r="AK75" s="4">
        <v>1.3999999999999999E-4</v>
      </c>
      <c r="AL75" s="4">
        <v>0</v>
      </c>
      <c r="AM75" s="4">
        <v>0</v>
      </c>
      <c r="AN75" s="4">
        <v>0.23300000000000001</v>
      </c>
      <c r="AO75" s="5">
        <f t="shared" si="21"/>
        <v>0.54003795066413662</v>
      </c>
      <c r="AP75" s="8">
        <f t="shared" si="22"/>
        <v>144</v>
      </c>
      <c r="AQ75" s="6">
        <f t="shared" si="16"/>
        <v>0.77005347593582885</v>
      </c>
      <c r="AR75" s="5">
        <f t="shared" si="23"/>
        <v>0.56736242884250476</v>
      </c>
      <c r="AS75" s="5">
        <f t="shared" si="24"/>
        <v>0.48763968845242123</v>
      </c>
      <c r="AT75" s="5">
        <f t="shared" si="27"/>
        <v>2.8161395799940425E-2</v>
      </c>
      <c r="AU75" s="5">
        <f t="shared" si="26"/>
        <v>-6.8450954890820023E-2</v>
      </c>
      <c r="AV75" s="4">
        <f t="shared" si="17"/>
        <v>0</v>
      </c>
      <c r="AW75" s="4">
        <f t="shared" si="18"/>
        <v>5</v>
      </c>
      <c r="AX75" s="4">
        <f t="shared" si="19"/>
        <v>0</v>
      </c>
      <c r="AY75" s="4">
        <f t="shared" si="20"/>
        <v>0</v>
      </c>
      <c r="AZ75" s="4">
        <f t="shared" si="25"/>
        <v>0</v>
      </c>
    </row>
    <row r="76" spans="1:52" x14ac:dyDescent="0.3">
      <c r="A76" s="4" t="s">
        <v>52</v>
      </c>
      <c r="B76" s="4" t="s">
        <v>56</v>
      </c>
      <c r="C76" s="4" t="s">
        <v>54</v>
      </c>
      <c r="D76" s="4" t="s">
        <v>56</v>
      </c>
      <c r="E76" s="4" t="s">
        <v>55</v>
      </c>
      <c r="F76" s="4">
        <v>2</v>
      </c>
      <c r="G76" s="4">
        <v>0.04</v>
      </c>
      <c r="H76" s="4" t="b">
        <v>0</v>
      </c>
      <c r="I76" s="4" t="b">
        <v>0</v>
      </c>
      <c r="J76" s="4" t="b">
        <v>0</v>
      </c>
      <c r="K76" s="4">
        <v>2.9529999999999998</v>
      </c>
      <c r="L76" s="4">
        <v>5.1999999999999998E-2</v>
      </c>
      <c r="M76" s="4">
        <v>-5.8000000000000003E-2</v>
      </c>
      <c r="N76" s="4">
        <v>36616.239000000001</v>
      </c>
      <c r="O76" s="4">
        <v>6.6000000000000003E-2</v>
      </c>
      <c r="P76" s="4">
        <v>5.0000000000000001E-3</v>
      </c>
      <c r="Q76" s="5">
        <v>1E-3</v>
      </c>
      <c r="R76" s="5">
        <v>0.18</v>
      </c>
      <c r="S76" s="9">
        <v>1060.8889999999999</v>
      </c>
      <c r="T76" s="4">
        <v>1838.375</v>
      </c>
      <c r="U76" s="4">
        <v>1.8120000000000001</v>
      </c>
      <c r="V76" s="4">
        <v>2.1949999999999998</v>
      </c>
      <c r="W76" s="4">
        <v>1.764</v>
      </c>
      <c r="X76" s="4">
        <v>4.0270000000000001</v>
      </c>
      <c r="Y76" s="4">
        <v>9.8019999999999996</v>
      </c>
      <c r="Z76" s="8">
        <v>2891</v>
      </c>
      <c r="AA76" s="8">
        <v>5270</v>
      </c>
      <c r="AB76" s="4">
        <v>3035</v>
      </c>
      <c r="AC76" s="4">
        <v>0.06</v>
      </c>
      <c r="AD76" s="5">
        <v>0.94499999999999995</v>
      </c>
      <c r="AE76" s="16">
        <v>0</v>
      </c>
      <c r="AF76" s="4">
        <v>0</v>
      </c>
      <c r="AG76" s="4">
        <v>0.94499999999999995</v>
      </c>
      <c r="AH76" s="4">
        <v>3</v>
      </c>
      <c r="AI76" s="4">
        <v>2.9996900000000002</v>
      </c>
      <c r="AJ76" s="4">
        <v>1.8600000000000001E-3</v>
      </c>
      <c r="AK76" s="4">
        <v>4.4000000000000002E-4</v>
      </c>
      <c r="AL76" s="4">
        <v>0</v>
      </c>
      <c r="AM76" s="4">
        <v>0</v>
      </c>
      <c r="AN76" s="4">
        <v>0.33500000000000002</v>
      </c>
      <c r="AO76" s="5">
        <f t="shared" si="21"/>
        <v>0.54857685009487667</v>
      </c>
      <c r="AP76" s="8">
        <f t="shared" si="22"/>
        <v>144</v>
      </c>
      <c r="AQ76" s="6">
        <f t="shared" si="16"/>
        <v>0.77005347593582885</v>
      </c>
      <c r="AR76" s="5">
        <f t="shared" si="23"/>
        <v>0.57590132827324481</v>
      </c>
      <c r="AS76" s="5">
        <f t="shared" si="24"/>
        <v>0.48763968845242123</v>
      </c>
      <c r="AT76" s="5">
        <f t="shared" si="27"/>
        <v>-2.6256670998236486E-2</v>
      </c>
      <c r="AU76" s="5">
        <f t="shared" si="26"/>
        <v>0</v>
      </c>
      <c r="AV76" s="4">
        <f t="shared" si="17"/>
        <v>0</v>
      </c>
      <c r="AW76" s="4">
        <f t="shared" si="18"/>
        <v>5</v>
      </c>
      <c r="AX76" s="4">
        <f t="shared" si="19"/>
        <v>0</v>
      </c>
      <c r="AY76" s="4">
        <f t="shared" si="20"/>
        <v>0</v>
      </c>
      <c r="AZ76" s="4">
        <f t="shared" si="25"/>
        <v>0</v>
      </c>
    </row>
    <row r="77" spans="1:52" x14ac:dyDescent="0.3">
      <c r="A77" s="4" t="s">
        <v>52</v>
      </c>
      <c r="B77" s="4" t="s">
        <v>56</v>
      </c>
      <c r="C77" s="4" t="s">
        <v>54</v>
      </c>
      <c r="D77" s="4" t="s">
        <v>56</v>
      </c>
      <c r="E77" s="4" t="s">
        <v>55</v>
      </c>
      <c r="F77" s="4">
        <v>2</v>
      </c>
      <c r="G77" s="4">
        <v>0.04</v>
      </c>
      <c r="H77" s="4" t="b">
        <v>0</v>
      </c>
      <c r="I77" s="4" t="b">
        <v>0</v>
      </c>
      <c r="J77" s="4" t="b">
        <v>0</v>
      </c>
      <c r="K77" s="4">
        <v>2.9529999999999998</v>
      </c>
      <c r="L77" s="4">
        <v>5.1999999999999998E-2</v>
      </c>
      <c r="M77" s="4">
        <v>-5.8000000000000003E-2</v>
      </c>
      <c r="N77" s="4">
        <v>-17522.080999999998</v>
      </c>
      <c r="O77" s="4">
        <v>-0.13600000000000001</v>
      </c>
      <c r="P77" s="4">
        <v>5.0000000000000001E-3</v>
      </c>
      <c r="Q77" s="5">
        <v>1E-3</v>
      </c>
      <c r="R77" s="5">
        <v>0.18</v>
      </c>
      <c r="S77" s="9">
        <v>1075.7529999999999</v>
      </c>
      <c r="T77" s="4">
        <v>1838.375</v>
      </c>
      <c r="U77" s="4">
        <v>1.5549999999999999</v>
      </c>
      <c r="V77" s="4">
        <v>2.181</v>
      </c>
      <c r="W77" s="4">
        <v>1.466</v>
      </c>
      <c r="X77" s="4">
        <v>3.9510000000000001</v>
      </c>
      <c r="Y77" s="4">
        <v>9.1590000000000007</v>
      </c>
      <c r="Z77" s="8">
        <v>2935</v>
      </c>
      <c r="AA77" s="8">
        <v>5270</v>
      </c>
      <c r="AB77" s="4">
        <v>3078</v>
      </c>
      <c r="AC77" s="4">
        <v>0.06</v>
      </c>
      <c r="AD77" s="5">
        <v>0.93500000000000005</v>
      </c>
      <c r="AE77" s="16">
        <v>0</v>
      </c>
      <c r="AF77" s="4">
        <v>0</v>
      </c>
      <c r="AG77" s="4">
        <v>0.93500000000000005</v>
      </c>
      <c r="AH77" s="4">
        <v>3</v>
      </c>
      <c r="AI77" s="4">
        <v>2.9963899999999999</v>
      </c>
      <c r="AJ77" s="4">
        <v>-2.2000000000000001E-4</v>
      </c>
      <c r="AK77" s="4">
        <v>2.0000000000000001E-4</v>
      </c>
      <c r="AL77" s="4">
        <v>0</v>
      </c>
      <c r="AM77" s="4">
        <v>0</v>
      </c>
      <c r="AN77" s="4">
        <v>0.23300000000000001</v>
      </c>
      <c r="AO77" s="5">
        <f t="shared" si="21"/>
        <v>0.55692599620493355</v>
      </c>
      <c r="AP77" s="8">
        <f t="shared" si="22"/>
        <v>143</v>
      </c>
      <c r="AQ77" s="6">
        <f t="shared" si="16"/>
        <v>0.76470588235294112</v>
      </c>
      <c r="AR77" s="5">
        <f t="shared" si="23"/>
        <v>0.58406072106261864</v>
      </c>
      <c r="AS77" s="5">
        <f t="shared" si="24"/>
        <v>0.48425330172705722</v>
      </c>
      <c r="AT77" s="5">
        <f t="shared" si="27"/>
        <v>-5.3882326642808606E-2</v>
      </c>
      <c r="AU77" s="5">
        <f t="shared" si="26"/>
        <v>-6.7276641550053667E-2</v>
      </c>
      <c r="AV77" s="4">
        <f t="shared" si="17"/>
        <v>0</v>
      </c>
      <c r="AW77" s="4">
        <f t="shared" si="18"/>
        <v>5</v>
      </c>
      <c r="AX77" s="4">
        <f t="shared" si="19"/>
        <v>0</v>
      </c>
      <c r="AY77" s="4">
        <f t="shared" si="20"/>
        <v>0</v>
      </c>
      <c r="AZ77" s="4">
        <f t="shared" si="25"/>
        <v>0</v>
      </c>
    </row>
    <row r="78" spans="1:52" x14ac:dyDescent="0.3">
      <c r="A78" s="4" t="s">
        <v>52</v>
      </c>
      <c r="B78" s="4" t="s">
        <v>56</v>
      </c>
      <c r="C78" s="4" t="s">
        <v>54</v>
      </c>
      <c r="D78" s="4" t="s">
        <v>56</v>
      </c>
      <c r="E78" s="4" t="s">
        <v>55</v>
      </c>
      <c r="F78" s="4">
        <v>2</v>
      </c>
      <c r="G78" s="4">
        <v>0.04</v>
      </c>
      <c r="H78" s="4" t="b">
        <v>0</v>
      </c>
      <c r="I78" s="4" t="b">
        <v>0</v>
      </c>
      <c r="J78" s="4" t="b">
        <v>0</v>
      </c>
      <c r="K78" s="4">
        <v>2.9529999999999998</v>
      </c>
      <c r="L78" s="4">
        <v>5.1999999999999998E-2</v>
      </c>
      <c r="M78" s="4">
        <v>-5.8000000000000003E-2</v>
      </c>
      <c r="N78" s="4">
        <v>-16601.074000000001</v>
      </c>
      <c r="O78" s="4">
        <v>-0.14099999999999999</v>
      </c>
      <c r="P78" s="4">
        <v>5.0000000000000001E-3</v>
      </c>
      <c r="Q78" s="5">
        <v>1E-3</v>
      </c>
      <c r="R78" s="5">
        <v>0.18</v>
      </c>
      <c r="S78" s="9">
        <v>1089.674</v>
      </c>
      <c r="T78" s="4">
        <v>1838.375</v>
      </c>
      <c r="U78" s="4">
        <v>1.605</v>
      </c>
      <c r="V78" s="4">
        <v>2.4039999999999999</v>
      </c>
      <c r="W78" s="4">
        <v>1.486</v>
      </c>
      <c r="X78" s="4">
        <v>3.9260000000000002</v>
      </c>
      <c r="Y78" s="4">
        <v>9.4239999999999995</v>
      </c>
      <c r="Z78" s="8">
        <v>2976</v>
      </c>
      <c r="AA78" s="8">
        <v>5270</v>
      </c>
      <c r="AB78" s="4">
        <v>3120</v>
      </c>
      <c r="AC78" s="4">
        <v>0.06</v>
      </c>
      <c r="AD78" s="5">
        <v>0.92500000000000004</v>
      </c>
      <c r="AE78" s="16">
        <v>0</v>
      </c>
      <c r="AF78" s="4">
        <v>0</v>
      </c>
      <c r="AG78" s="4">
        <v>0.92500000000000004</v>
      </c>
      <c r="AH78" s="4">
        <v>2.98</v>
      </c>
      <c r="AI78" s="4">
        <v>2.9942899999999999</v>
      </c>
      <c r="AJ78" s="4">
        <v>-1.4999999999999999E-4</v>
      </c>
      <c r="AK78" s="4">
        <v>1.7000000000000001E-4</v>
      </c>
      <c r="AL78" s="4">
        <v>0</v>
      </c>
      <c r="AM78" s="4">
        <v>0</v>
      </c>
      <c r="AN78" s="4">
        <v>0.182</v>
      </c>
      <c r="AO78" s="5">
        <f t="shared" si="21"/>
        <v>0.56470588235294117</v>
      </c>
      <c r="AP78" s="8">
        <f t="shared" si="22"/>
        <v>144</v>
      </c>
      <c r="AQ78" s="6">
        <f t="shared" si="16"/>
        <v>0.77005347593582885</v>
      </c>
      <c r="AR78" s="5">
        <f t="shared" si="23"/>
        <v>0.59203036053130931</v>
      </c>
      <c r="AS78" s="5">
        <f t="shared" si="24"/>
        <v>0.48763968845242123</v>
      </c>
      <c r="AT78" s="5">
        <f t="shared" si="27"/>
        <v>2.8899508663882589E-2</v>
      </c>
      <c r="AU78" s="5">
        <f t="shared" si="26"/>
        <v>7.1833919977012897E-2</v>
      </c>
      <c r="AV78" s="4">
        <f t="shared" si="17"/>
        <v>0</v>
      </c>
      <c r="AW78" s="4">
        <f t="shared" si="18"/>
        <v>5</v>
      </c>
      <c r="AX78" s="4">
        <f t="shared" si="19"/>
        <v>0</v>
      </c>
      <c r="AY78" s="4">
        <f t="shared" si="20"/>
        <v>0</v>
      </c>
      <c r="AZ78" s="4">
        <f t="shared" si="25"/>
        <v>0</v>
      </c>
    </row>
    <row r="79" spans="1:52" x14ac:dyDescent="0.3">
      <c r="A79" s="4" t="s">
        <v>52</v>
      </c>
      <c r="B79" s="4" t="s">
        <v>56</v>
      </c>
      <c r="C79" s="4" t="s">
        <v>54</v>
      </c>
      <c r="D79" s="4" t="s">
        <v>56</v>
      </c>
      <c r="E79" s="4" t="s">
        <v>55</v>
      </c>
      <c r="F79" s="4">
        <v>2</v>
      </c>
      <c r="G79" s="4">
        <v>0.04</v>
      </c>
      <c r="H79" s="4" t="b">
        <v>0</v>
      </c>
      <c r="I79" s="4" t="b">
        <v>0</v>
      </c>
      <c r="J79" s="4" t="b">
        <v>0</v>
      </c>
      <c r="K79" s="4">
        <v>2.9529999999999998</v>
      </c>
      <c r="L79" s="4">
        <v>5.1999999999999998E-2</v>
      </c>
      <c r="M79" s="4">
        <v>-5.8000000000000003E-2</v>
      </c>
      <c r="N79" s="4">
        <v>32547.561000000002</v>
      </c>
      <c r="O79" s="4">
        <v>7.0000000000000007E-2</v>
      </c>
      <c r="P79" s="4">
        <v>5.0000000000000001E-3</v>
      </c>
      <c r="Q79" s="5">
        <v>1E-3</v>
      </c>
      <c r="R79" s="5">
        <v>0.18</v>
      </c>
      <c r="S79" s="9">
        <v>1103.9290000000001</v>
      </c>
      <c r="T79" s="4">
        <v>1838.375</v>
      </c>
      <c r="U79" s="4">
        <v>1.593</v>
      </c>
      <c r="V79" s="4">
        <v>2.306</v>
      </c>
      <c r="W79" s="4">
        <v>1.514</v>
      </c>
      <c r="X79" s="4">
        <v>3.8359999999999999</v>
      </c>
      <c r="Y79" s="4">
        <v>9.2539999999999996</v>
      </c>
      <c r="Z79" s="8">
        <v>3018</v>
      </c>
      <c r="AA79" s="8">
        <v>5270</v>
      </c>
      <c r="AB79" s="4">
        <v>3162</v>
      </c>
      <c r="AC79" s="4">
        <v>0.06</v>
      </c>
      <c r="AD79" s="5">
        <v>0.93</v>
      </c>
      <c r="AE79" s="16">
        <v>0</v>
      </c>
      <c r="AF79" s="4">
        <v>0</v>
      </c>
      <c r="AG79" s="4">
        <v>0.93</v>
      </c>
      <c r="AH79" s="4">
        <v>3.04</v>
      </c>
      <c r="AI79" s="4">
        <v>2.9862600000000001</v>
      </c>
      <c r="AJ79" s="4">
        <v>-5.5999999999999995E-4</v>
      </c>
      <c r="AK79" s="4">
        <v>8.0000000000000007E-5</v>
      </c>
      <c r="AL79" s="4">
        <v>0</v>
      </c>
      <c r="AM79" s="4">
        <v>0</v>
      </c>
      <c r="AN79" s="4">
        <v>0.16</v>
      </c>
      <c r="AO79" s="5">
        <f t="shared" si="21"/>
        <v>0.57267552182163184</v>
      </c>
      <c r="AP79" s="8">
        <f t="shared" si="22"/>
        <v>144</v>
      </c>
      <c r="AQ79" s="6">
        <f t="shared" si="16"/>
        <v>0.77005347593582885</v>
      </c>
      <c r="AR79" s="5">
        <f t="shared" si="23"/>
        <v>0.6</v>
      </c>
      <c r="AS79" s="5">
        <f t="shared" si="24"/>
        <v>0.48763968845242123</v>
      </c>
      <c r="AT79" s="5">
        <f t="shared" si="27"/>
        <v>-1.2778735292772157E-2</v>
      </c>
      <c r="AU79" s="5">
        <f t="shared" si="26"/>
        <v>0</v>
      </c>
      <c r="AV79" s="4">
        <f t="shared" si="17"/>
        <v>0</v>
      </c>
      <c r="AW79" s="4">
        <f t="shared" si="18"/>
        <v>5</v>
      </c>
      <c r="AX79" s="4">
        <f t="shared" si="19"/>
        <v>0</v>
      </c>
      <c r="AY79" s="4">
        <f t="shared" si="20"/>
        <v>0</v>
      </c>
      <c r="AZ79" s="4">
        <f t="shared" si="25"/>
        <v>0</v>
      </c>
    </row>
    <row r="80" spans="1:52" x14ac:dyDescent="0.3">
      <c r="A80" s="4" t="s">
        <v>52</v>
      </c>
      <c r="B80" s="4" t="s">
        <v>56</v>
      </c>
      <c r="C80" s="4" t="s">
        <v>54</v>
      </c>
      <c r="D80" s="4" t="s">
        <v>57</v>
      </c>
      <c r="E80" s="4" t="s">
        <v>55</v>
      </c>
      <c r="F80" s="4">
        <v>2</v>
      </c>
      <c r="G80" s="4">
        <v>0.04</v>
      </c>
      <c r="H80" s="4" t="b">
        <v>0</v>
      </c>
      <c r="I80" s="4" t="b">
        <v>0</v>
      </c>
      <c r="J80" s="4" t="b">
        <v>0</v>
      </c>
      <c r="K80" s="4">
        <v>2.9529999999999998</v>
      </c>
      <c r="L80" s="4">
        <v>5.1999999999999998E-2</v>
      </c>
      <c r="M80" s="4">
        <v>-5.8000000000000003E-2</v>
      </c>
      <c r="N80" s="4">
        <v>0</v>
      </c>
      <c r="O80" s="4">
        <v>0</v>
      </c>
      <c r="P80" s="4">
        <v>5.0000000000000001E-3</v>
      </c>
      <c r="Q80" s="5">
        <v>1E-3</v>
      </c>
      <c r="R80" s="5">
        <v>0.18</v>
      </c>
      <c r="S80" s="9">
        <v>1117.914</v>
      </c>
      <c r="T80" s="4">
        <v>1838.375</v>
      </c>
      <c r="U80" s="4">
        <v>1.5609999999999999</v>
      </c>
      <c r="V80" s="4">
        <v>2.2469999999999999</v>
      </c>
      <c r="W80" s="4">
        <v>1.5509999999999999</v>
      </c>
      <c r="X80" s="4">
        <v>4.1619999999999999</v>
      </c>
      <c r="Y80" s="4">
        <v>9.5250000000000004</v>
      </c>
      <c r="Z80" s="8">
        <v>3059</v>
      </c>
      <c r="AA80" s="8">
        <v>5270</v>
      </c>
      <c r="AB80" s="4">
        <v>3204</v>
      </c>
      <c r="AC80" s="4">
        <v>0.06</v>
      </c>
      <c r="AD80" s="5">
        <v>0.93</v>
      </c>
      <c r="AE80" s="16">
        <v>0.08</v>
      </c>
      <c r="AF80" s="4">
        <v>0</v>
      </c>
      <c r="AG80" s="4">
        <v>1</v>
      </c>
      <c r="AH80" s="4">
        <v>2.92</v>
      </c>
      <c r="AI80" s="4">
        <v>2.97044</v>
      </c>
      <c r="AJ80" s="4">
        <v>-1.1299999999999999E-3</v>
      </c>
      <c r="AK80" s="4">
        <v>-3.0000000000000001E-5</v>
      </c>
      <c r="AL80" s="4">
        <v>0</v>
      </c>
      <c r="AM80" s="4">
        <v>0</v>
      </c>
      <c r="AN80" s="4">
        <v>0.29099999999999998</v>
      </c>
      <c r="AO80" s="5">
        <f t="shared" si="21"/>
        <v>0.58045540796963946</v>
      </c>
      <c r="AP80" s="8">
        <f t="shared" si="22"/>
        <v>145</v>
      </c>
      <c r="AQ80" s="6">
        <f t="shared" si="16"/>
        <v>0.77540106951871657</v>
      </c>
      <c r="AR80" s="5">
        <f t="shared" si="23"/>
        <v>0.60796963946869065</v>
      </c>
      <c r="AS80" s="5">
        <f t="shared" si="24"/>
        <v>0.49102607517778529</v>
      </c>
      <c r="AT80" s="5">
        <f t="shared" si="27"/>
        <v>1.5212492510561773E-2</v>
      </c>
      <c r="AU80" s="5">
        <f t="shared" si="26"/>
        <v>7.1505184125849636E-2</v>
      </c>
      <c r="AV80" s="4">
        <f t="shared" si="17"/>
        <v>0</v>
      </c>
      <c r="AW80" s="4">
        <f t="shared" si="18"/>
        <v>5</v>
      </c>
      <c r="AX80" s="4">
        <f t="shared" si="19"/>
        <v>0</v>
      </c>
      <c r="AY80" s="4">
        <f t="shared" si="20"/>
        <v>0</v>
      </c>
      <c r="AZ80" s="4">
        <f t="shared" si="25"/>
        <v>0</v>
      </c>
    </row>
    <row r="81" spans="1:52" x14ac:dyDescent="0.3">
      <c r="A81" s="4" t="s">
        <v>52</v>
      </c>
      <c r="B81" s="4" t="s">
        <v>56</v>
      </c>
      <c r="C81" s="4" t="s">
        <v>54</v>
      </c>
      <c r="D81" s="4" t="s">
        <v>56</v>
      </c>
      <c r="E81" s="4" t="s">
        <v>55</v>
      </c>
      <c r="F81" s="4">
        <v>2</v>
      </c>
      <c r="G81" s="4">
        <v>0.04</v>
      </c>
      <c r="H81" s="4" t="b">
        <v>0</v>
      </c>
      <c r="I81" s="4" t="b">
        <v>0</v>
      </c>
      <c r="J81" s="4" t="b">
        <v>0</v>
      </c>
      <c r="K81" s="4">
        <v>2.9529999999999998</v>
      </c>
      <c r="L81" s="4">
        <v>5.1999999999999998E-2</v>
      </c>
      <c r="M81" s="4">
        <v>-5.8000000000000003E-2</v>
      </c>
      <c r="N81" s="4">
        <v>31528.585999999999</v>
      </c>
      <c r="O81" s="4">
        <v>7.0000000000000007E-2</v>
      </c>
      <c r="P81" s="4">
        <v>5.0000000000000001E-3</v>
      </c>
      <c r="Q81" s="5">
        <v>1E-3</v>
      </c>
      <c r="R81" s="5">
        <v>0.18</v>
      </c>
      <c r="S81" s="9">
        <v>1132.4290000000001</v>
      </c>
      <c r="T81" s="4">
        <v>1838.375</v>
      </c>
      <c r="U81" s="4">
        <v>1.8089999999999999</v>
      </c>
      <c r="V81" s="4">
        <v>2.1930000000000001</v>
      </c>
      <c r="W81" s="4">
        <v>1.6279999999999999</v>
      </c>
      <c r="X81" s="4">
        <v>3.7959999999999998</v>
      </c>
      <c r="Y81" s="4">
        <v>9.43</v>
      </c>
      <c r="Z81" s="8">
        <v>3102</v>
      </c>
      <c r="AA81" s="8">
        <v>5270</v>
      </c>
      <c r="AB81" s="4">
        <v>3246</v>
      </c>
      <c r="AC81" s="4">
        <v>0.06</v>
      </c>
      <c r="AD81" s="5">
        <v>0.93500000000000005</v>
      </c>
      <c r="AE81" s="16">
        <v>0</v>
      </c>
      <c r="AF81" s="4">
        <v>0</v>
      </c>
      <c r="AG81" s="4">
        <v>0.93500000000000005</v>
      </c>
      <c r="AH81" s="4">
        <v>2.94</v>
      </c>
      <c r="AI81" s="4">
        <v>2.9494199999999999</v>
      </c>
      <c r="AJ81" s="4">
        <v>-1.4499999999999999E-3</v>
      </c>
      <c r="AK81" s="4">
        <v>-6.9999999999999999E-4</v>
      </c>
      <c r="AL81" s="4">
        <v>0</v>
      </c>
      <c r="AM81" s="4">
        <v>0</v>
      </c>
      <c r="AN81" s="4">
        <v>0.42199999999999999</v>
      </c>
      <c r="AO81" s="5">
        <f t="shared" si="21"/>
        <v>0.58861480075901329</v>
      </c>
      <c r="AP81" s="8">
        <f t="shared" si="22"/>
        <v>144</v>
      </c>
      <c r="AQ81" s="6">
        <f t="shared" si="16"/>
        <v>0.77005347593582885</v>
      </c>
      <c r="AR81" s="5">
        <f t="shared" si="23"/>
        <v>0.61593927893738143</v>
      </c>
      <c r="AS81" s="5">
        <f t="shared" si="24"/>
        <v>0.48763968845242123</v>
      </c>
      <c r="AT81" s="5">
        <f t="shared" si="27"/>
        <v>1.433643044492286E-3</v>
      </c>
      <c r="AU81" s="5">
        <f t="shared" si="26"/>
        <v>-6.8894247330347436E-2</v>
      </c>
      <c r="AV81" s="4">
        <f t="shared" si="17"/>
        <v>0</v>
      </c>
      <c r="AW81" s="4">
        <f t="shared" si="18"/>
        <v>5</v>
      </c>
      <c r="AX81" s="4">
        <f t="shared" si="19"/>
        <v>0</v>
      </c>
      <c r="AY81" s="4">
        <f t="shared" si="20"/>
        <v>0</v>
      </c>
      <c r="AZ81" s="4">
        <f t="shared" si="25"/>
        <v>0</v>
      </c>
    </row>
    <row r="82" spans="1:52" x14ac:dyDescent="0.3">
      <c r="A82" s="4" t="s">
        <v>52</v>
      </c>
      <c r="B82" s="4" t="s">
        <v>56</v>
      </c>
      <c r="C82" s="4" t="s">
        <v>54</v>
      </c>
      <c r="D82" s="4" t="s">
        <v>56</v>
      </c>
      <c r="E82" s="4" t="s">
        <v>55</v>
      </c>
      <c r="F82" s="4">
        <v>2</v>
      </c>
      <c r="G82" s="4">
        <v>0.04</v>
      </c>
      <c r="H82" s="4" t="b">
        <v>0</v>
      </c>
      <c r="I82" s="4" t="b">
        <v>0</v>
      </c>
      <c r="J82" s="4" t="b">
        <v>0</v>
      </c>
      <c r="K82" s="4">
        <v>2.9529999999999998</v>
      </c>
      <c r="L82" s="4">
        <v>5.1999999999999998E-2</v>
      </c>
      <c r="M82" s="4">
        <v>-5.8000000000000003E-2</v>
      </c>
      <c r="N82" s="4">
        <v>-31255.607</v>
      </c>
      <c r="O82" s="4">
        <v>-6.9000000000000006E-2</v>
      </c>
      <c r="P82" s="4">
        <v>5.0000000000000001E-3</v>
      </c>
      <c r="Q82" s="5">
        <v>1E-3</v>
      </c>
      <c r="R82" s="5">
        <v>0.18</v>
      </c>
      <c r="S82" s="9">
        <v>1147.057</v>
      </c>
      <c r="T82" s="4">
        <v>1838.375</v>
      </c>
      <c r="U82" s="4">
        <v>2.0129999999999999</v>
      </c>
      <c r="V82" s="4">
        <v>2.4820000000000002</v>
      </c>
      <c r="W82" s="4">
        <v>2.0950000000000002</v>
      </c>
      <c r="X82" s="4">
        <v>5.9809999999999999</v>
      </c>
      <c r="Y82" s="4">
        <v>12.576000000000001</v>
      </c>
      <c r="Z82" s="8">
        <v>3146</v>
      </c>
      <c r="AA82" s="8">
        <v>5270</v>
      </c>
      <c r="AB82" s="4">
        <v>3288</v>
      </c>
      <c r="AC82" s="4">
        <v>0.06</v>
      </c>
      <c r="AD82" s="5">
        <v>0.93</v>
      </c>
      <c r="AE82" s="16">
        <v>0</v>
      </c>
      <c r="AF82" s="4">
        <v>0</v>
      </c>
      <c r="AG82" s="4">
        <v>0.93</v>
      </c>
      <c r="AH82" s="4">
        <v>2.94</v>
      </c>
      <c r="AI82" s="4">
        <v>2.9591699999999999</v>
      </c>
      <c r="AJ82" s="4">
        <v>6.7000000000000002E-4</v>
      </c>
      <c r="AK82" s="4">
        <v>-5.1999999999999995E-4</v>
      </c>
      <c r="AL82" s="4">
        <v>0</v>
      </c>
      <c r="AM82" s="4">
        <v>0</v>
      </c>
      <c r="AN82" s="4">
        <v>0.23300000000000001</v>
      </c>
      <c r="AO82" s="5">
        <f t="shared" si="21"/>
        <v>0.59696394686907017</v>
      </c>
      <c r="AP82" s="8">
        <f t="shared" si="22"/>
        <v>142</v>
      </c>
      <c r="AQ82" s="6">
        <f t="shared" si="16"/>
        <v>0.75935828877005351</v>
      </c>
      <c r="AR82" s="5">
        <f t="shared" si="23"/>
        <v>0.6239089184060721</v>
      </c>
      <c r="AS82" s="5">
        <f t="shared" si="24"/>
        <v>0.48086691500169315</v>
      </c>
      <c r="AT82" s="5">
        <f t="shared" si="27"/>
        <v>-1.2455846802456367E-2</v>
      </c>
      <c r="AU82" s="5">
        <f t="shared" si="26"/>
        <v>-0.13672409078479694</v>
      </c>
      <c r="AV82" s="4">
        <f t="shared" si="17"/>
        <v>0</v>
      </c>
      <c r="AW82" s="4">
        <f t="shared" si="18"/>
        <v>5</v>
      </c>
      <c r="AX82" s="4">
        <f t="shared" si="19"/>
        <v>0</v>
      </c>
      <c r="AY82" s="4">
        <f t="shared" si="20"/>
        <v>0</v>
      </c>
      <c r="AZ82" s="4">
        <f t="shared" si="25"/>
        <v>0</v>
      </c>
    </row>
    <row r="83" spans="1:52" x14ac:dyDescent="0.3">
      <c r="A83" s="4" t="s">
        <v>52</v>
      </c>
      <c r="B83" s="4" t="s">
        <v>56</v>
      </c>
      <c r="C83" s="4" t="s">
        <v>54</v>
      </c>
      <c r="D83" s="4" t="s">
        <v>56</v>
      </c>
      <c r="E83" s="4" t="s">
        <v>55</v>
      </c>
      <c r="F83" s="4">
        <v>2</v>
      </c>
      <c r="G83" s="4">
        <v>0.04</v>
      </c>
      <c r="H83" s="4" t="b">
        <v>0</v>
      </c>
      <c r="I83" s="4" t="b">
        <v>0</v>
      </c>
      <c r="J83" s="4" t="b">
        <v>0</v>
      </c>
      <c r="K83" s="4">
        <v>2.9529999999999998</v>
      </c>
      <c r="L83" s="4">
        <v>5.1999999999999998E-2</v>
      </c>
      <c r="M83" s="4">
        <v>-5.8000000000000003E-2</v>
      </c>
      <c r="N83" s="4">
        <v>4194.91</v>
      </c>
      <c r="O83" s="4">
        <v>0.50600000000000001</v>
      </c>
      <c r="P83" s="4">
        <v>5.0000000000000001E-3</v>
      </c>
      <c r="Q83" s="5">
        <v>1E-3</v>
      </c>
      <c r="R83" s="5">
        <v>0.18</v>
      </c>
      <c r="S83" s="9">
        <v>1164.6690000000001</v>
      </c>
      <c r="T83" s="4">
        <v>1838.375</v>
      </c>
      <c r="U83" s="4">
        <v>1.774</v>
      </c>
      <c r="V83" s="4">
        <v>2.3860000000000001</v>
      </c>
      <c r="W83" s="4">
        <v>1.6779999999999999</v>
      </c>
      <c r="X83" s="4">
        <v>4.25</v>
      </c>
      <c r="Y83" s="4">
        <v>10.092000000000001</v>
      </c>
      <c r="Z83" s="8">
        <v>3197</v>
      </c>
      <c r="AA83" s="8">
        <v>5270</v>
      </c>
      <c r="AB83" s="4">
        <v>3341</v>
      </c>
      <c r="AC83" s="4">
        <v>0.06</v>
      </c>
      <c r="AD83" s="5">
        <v>0.97499999999999998</v>
      </c>
      <c r="AE83" s="16">
        <v>0</v>
      </c>
      <c r="AF83" s="4">
        <v>0</v>
      </c>
      <c r="AG83" s="4">
        <v>0.97499999999999998</v>
      </c>
      <c r="AH83" s="4">
        <v>2.94</v>
      </c>
      <c r="AI83" s="4">
        <v>2.9468700000000001</v>
      </c>
      <c r="AJ83" s="4">
        <v>-6.9999999999999999E-4</v>
      </c>
      <c r="AK83" s="4">
        <v>-6.3000000000000003E-4</v>
      </c>
      <c r="AL83" s="4">
        <v>0</v>
      </c>
      <c r="AM83" s="4">
        <v>0</v>
      </c>
      <c r="AN83" s="4">
        <v>0.189</v>
      </c>
      <c r="AO83" s="5">
        <f t="shared" si="21"/>
        <v>0.60664136622390896</v>
      </c>
      <c r="AP83" s="8">
        <f t="shared" si="22"/>
        <v>144</v>
      </c>
      <c r="AQ83" s="6">
        <f t="shared" si="16"/>
        <v>0.77005347593582885</v>
      </c>
      <c r="AR83" s="5">
        <f t="shared" si="23"/>
        <v>0.63396584440227699</v>
      </c>
      <c r="AS83" s="5">
        <f t="shared" si="24"/>
        <v>0.48763968845242123</v>
      </c>
      <c r="AT83" s="5">
        <f t="shared" si="27"/>
        <v>-4.1108433801892805E-3</v>
      </c>
      <c r="AU83" s="5">
        <f t="shared" si="26"/>
        <v>0.11355893708834834</v>
      </c>
      <c r="AV83" s="4">
        <f t="shared" si="17"/>
        <v>0</v>
      </c>
      <c r="AW83" s="4">
        <f t="shared" si="18"/>
        <v>5</v>
      </c>
      <c r="AX83" s="4">
        <f t="shared" si="19"/>
        <v>0</v>
      </c>
      <c r="AY83" s="4">
        <f t="shared" si="20"/>
        <v>0</v>
      </c>
      <c r="AZ83" s="4">
        <f t="shared" si="25"/>
        <v>0</v>
      </c>
    </row>
    <row r="84" spans="1:52" x14ac:dyDescent="0.3">
      <c r="A84" s="4" t="s">
        <v>52</v>
      </c>
      <c r="B84" s="4" t="s">
        <v>56</v>
      </c>
      <c r="C84" s="4" t="s">
        <v>54</v>
      </c>
      <c r="D84" s="4" t="s">
        <v>56</v>
      </c>
      <c r="E84" s="4" t="s">
        <v>55</v>
      </c>
      <c r="F84" s="4">
        <v>2</v>
      </c>
      <c r="G84" s="4">
        <v>0.04</v>
      </c>
      <c r="H84" s="4" t="b">
        <v>0</v>
      </c>
      <c r="I84" s="4" t="b">
        <v>0</v>
      </c>
      <c r="J84" s="4" t="b">
        <v>0</v>
      </c>
      <c r="K84" s="4">
        <v>2.9529999999999998</v>
      </c>
      <c r="L84" s="4">
        <v>5.1999999999999998E-2</v>
      </c>
      <c r="M84" s="4">
        <v>-5.8000000000000003E-2</v>
      </c>
      <c r="N84" s="4">
        <v>-5223.0529999999999</v>
      </c>
      <c r="O84" s="4">
        <v>-0.39700000000000002</v>
      </c>
      <c r="P84" s="4">
        <v>5.0000000000000001E-3</v>
      </c>
      <c r="Q84" s="5">
        <v>1E-3</v>
      </c>
      <c r="R84" s="5">
        <v>0.18</v>
      </c>
      <c r="S84" s="9">
        <v>1179.7380000000001</v>
      </c>
      <c r="T84" s="4">
        <v>1838.375</v>
      </c>
      <c r="U84" s="4">
        <v>1.804</v>
      </c>
      <c r="V84" s="4">
        <v>2.4079999999999999</v>
      </c>
      <c r="W84" s="4">
        <v>1.59</v>
      </c>
      <c r="X84" s="4">
        <v>3.9780000000000002</v>
      </c>
      <c r="Y84" s="4">
        <v>9.7850000000000001</v>
      </c>
      <c r="Z84" s="8">
        <v>3242</v>
      </c>
      <c r="AA84" s="8">
        <v>5270</v>
      </c>
      <c r="AB84" s="4">
        <v>3386</v>
      </c>
      <c r="AC84" s="4">
        <v>0.06</v>
      </c>
      <c r="AD84" s="5">
        <v>0.94499999999999995</v>
      </c>
      <c r="AE84" s="16">
        <v>0</v>
      </c>
      <c r="AF84" s="4">
        <v>0</v>
      </c>
      <c r="AG84" s="4">
        <v>0.94499999999999995</v>
      </c>
      <c r="AH84" s="4">
        <v>2.96</v>
      </c>
      <c r="AI84" s="4">
        <v>2.9548000000000001</v>
      </c>
      <c r="AJ84" s="4">
        <v>5.2999999999999998E-4</v>
      </c>
      <c r="AK84" s="4">
        <v>-4.0999999999999999E-4</v>
      </c>
      <c r="AL84" s="4">
        <v>0</v>
      </c>
      <c r="AM84" s="4">
        <v>0</v>
      </c>
      <c r="AN84" s="4">
        <v>0.32</v>
      </c>
      <c r="AO84" s="5">
        <f t="shared" si="21"/>
        <v>0.61518026565464901</v>
      </c>
      <c r="AP84" s="8">
        <f t="shared" si="22"/>
        <v>144</v>
      </c>
      <c r="AQ84" s="6">
        <f t="shared" si="16"/>
        <v>0.77005347593582885</v>
      </c>
      <c r="AR84" s="5">
        <f t="shared" si="23"/>
        <v>0.64250474383301703</v>
      </c>
      <c r="AS84" s="5">
        <f t="shared" si="24"/>
        <v>0.48763968845242123</v>
      </c>
      <c r="AT84" s="5">
        <f t="shared" si="27"/>
        <v>-4.1108433801892805E-3</v>
      </c>
      <c r="AU84" s="5">
        <f t="shared" si="26"/>
        <v>0</v>
      </c>
      <c r="AV84" s="4">
        <f t="shared" si="17"/>
        <v>0</v>
      </c>
      <c r="AW84" s="4">
        <f t="shared" si="18"/>
        <v>5</v>
      </c>
      <c r="AX84" s="4">
        <f t="shared" si="19"/>
        <v>0</v>
      </c>
      <c r="AY84" s="4">
        <f t="shared" si="20"/>
        <v>0</v>
      </c>
      <c r="AZ84" s="4">
        <f t="shared" si="25"/>
        <v>0</v>
      </c>
    </row>
    <row r="85" spans="1:52" x14ac:dyDescent="0.3">
      <c r="A85" s="4" t="s">
        <v>52</v>
      </c>
      <c r="B85" s="4" t="s">
        <v>56</v>
      </c>
      <c r="C85" s="4" t="s">
        <v>54</v>
      </c>
      <c r="D85" s="4" t="s">
        <v>56</v>
      </c>
      <c r="E85" s="4" t="s">
        <v>55</v>
      </c>
      <c r="F85" s="4">
        <v>2</v>
      </c>
      <c r="G85" s="4">
        <v>0.04</v>
      </c>
      <c r="H85" s="4" t="b">
        <v>0</v>
      </c>
      <c r="I85" s="4" t="b">
        <v>0</v>
      </c>
      <c r="J85" s="4" t="b">
        <v>0</v>
      </c>
      <c r="K85" s="4">
        <v>2.9529999999999998</v>
      </c>
      <c r="L85" s="4">
        <v>5.1999999999999998E-2</v>
      </c>
      <c r="M85" s="4">
        <v>-5.8000000000000003E-2</v>
      </c>
      <c r="N85" s="4">
        <v>-14971.459000000001</v>
      </c>
      <c r="O85" s="4">
        <v>-0.13500000000000001</v>
      </c>
      <c r="P85" s="4">
        <v>5.0000000000000001E-3</v>
      </c>
      <c r="Q85" s="5">
        <v>1E-3</v>
      </c>
      <c r="R85" s="5">
        <v>0.18</v>
      </c>
      <c r="S85" s="9">
        <v>1194.498</v>
      </c>
      <c r="T85" s="4">
        <v>1838.375</v>
      </c>
      <c r="U85" s="4">
        <v>1.73</v>
      </c>
      <c r="V85" s="4">
        <v>2.323</v>
      </c>
      <c r="W85" s="4">
        <v>1.6020000000000001</v>
      </c>
      <c r="X85" s="4">
        <v>4.16</v>
      </c>
      <c r="Y85" s="4">
        <v>9.8190000000000008</v>
      </c>
      <c r="Z85" s="8">
        <v>3285</v>
      </c>
      <c r="AA85" s="8">
        <v>5270</v>
      </c>
      <c r="AB85" s="4">
        <v>3429</v>
      </c>
      <c r="AC85" s="4">
        <v>0.06</v>
      </c>
      <c r="AD85" s="5">
        <v>0.93500000000000005</v>
      </c>
      <c r="AE85" s="16">
        <v>0</v>
      </c>
      <c r="AF85" s="4">
        <v>0</v>
      </c>
      <c r="AG85" s="4">
        <v>0.93500000000000005</v>
      </c>
      <c r="AH85" s="4">
        <v>2.96</v>
      </c>
      <c r="AI85" s="4">
        <v>2.95099</v>
      </c>
      <c r="AJ85" s="4">
        <v>-2.5999999999999998E-4</v>
      </c>
      <c r="AK85" s="4">
        <v>-2.5000000000000001E-4</v>
      </c>
      <c r="AL85" s="4">
        <v>0</v>
      </c>
      <c r="AM85" s="4">
        <v>0</v>
      </c>
      <c r="AN85" s="4">
        <v>0.255</v>
      </c>
      <c r="AO85" s="5">
        <f t="shared" si="21"/>
        <v>0.62333965844402273</v>
      </c>
      <c r="AP85" s="8">
        <f t="shared" si="22"/>
        <v>144</v>
      </c>
      <c r="AQ85" s="6">
        <f t="shared" si="16"/>
        <v>0.77005347593582885</v>
      </c>
      <c r="AR85" s="5">
        <f t="shared" si="23"/>
        <v>0.65066413662239087</v>
      </c>
      <c r="AS85" s="5">
        <f t="shared" si="24"/>
        <v>0.48763968845242123</v>
      </c>
      <c r="AT85" s="5">
        <f t="shared" si="27"/>
        <v>-1.8411880205359207E-2</v>
      </c>
      <c r="AU85" s="5">
        <f t="shared" si="26"/>
        <v>0</v>
      </c>
      <c r="AV85" s="4">
        <f t="shared" si="17"/>
        <v>0</v>
      </c>
      <c r="AW85" s="4">
        <f t="shared" si="18"/>
        <v>5</v>
      </c>
      <c r="AX85" s="4">
        <f t="shared" si="19"/>
        <v>0</v>
      </c>
      <c r="AY85" s="4">
        <f t="shared" si="20"/>
        <v>0</v>
      </c>
      <c r="AZ85" s="4">
        <f t="shared" si="25"/>
        <v>0</v>
      </c>
    </row>
    <row r="86" spans="1:52" x14ac:dyDescent="0.3">
      <c r="A86" s="4" t="s">
        <v>52</v>
      </c>
      <c r="B86" s="4" t="s">
        <v>56</v>
      </c>
      <c r="C86" s="4" t="s">
        <v>54</v>
      </c>
      <c r="D86" s="4" t="s">
        <v>56</v>
      </c>
      <c r="E86" s="4" t="s">
        <v>55</v>
      </c>
      <c r="F86" s="4">
        <v>2</v>
      </c>
      <c r="G86" s="4">
        <v>0.04</v>
      </c>
      <c r="H86" s="4" t="b">
        <v>0</v>
      </c>
      <c r="I86" s="4" t="b">
        <v>0</v>
      </c>
      <c r="J86" s="4" t="b">
        <v>0</v>
      </c>
      <c r="K86" s="4">
        <v>2.9529999999999998</v>
      </c>
      <c r="L86" s="4">
        <v>5.1999999999999998E-2</v>
      </c>
      <c r="M86" s="4">
        <v>-5.8000000000000003E-2</v>
      </c>
      <c r="N86" s="4">
        <v>29374.612000000001</v>
      </c>
      <c r="O86" s="4">
        <v>6.8000000000000005E-2</v>
      </c>
      <c r="P86" s="4">
        <v>5.0000000000000001E-3</v>
      </c>
      <c r="Q86" s="5">
        <v>1E-3</v>
      </c>
      <c r="R86" s="5">
        <v>0.18</v>
      </c>
      <c r="S86" s="9">
        <v>1209.5329999999999</v>
      </c>
      <c r="T86" s="4">
        <v>1838.375</v>
      </c>
      <c r="U86" s="4">
        <v>1.6339999999999999</v>
      </c>
      <c r="V86" s="4">
        <v>2.5070000000000001</v>
      </c>
      <c r="W86" s="4">
        <v>1.6930000000000001</v>
      </c>
      <c r="X86" s="4">
        <v>5.0250000000000004</v>
      </c>
      <c r="Y86" s="4">
        <v>10.863</v>
      </c>
      <c r="Z86" s="8">
        <v>3329</v>
      </c>
      <c r="AA86" s="8">
        <v>5270</v>
      </c>
      <c r="AB86" s="4">
        <v>3473</v>
      </c>
      <c r="AC86" s="4">
        <v>0.06</v>
      </c>
      <c r="AD86" s="5">
        <v>0.94</v>
      </c>
      <c r="AE86" s="16">
        <v>0</v>
      </c>
      <c r="AF86" s="4">
        <v>0</v>
      </c>
      <c r="AG86" s="4">
        <v>0.94</v>
      </c>
      <c r="AH86" s="4">
        <v>2.94</v>
      </c>
      <c r="AI86" s="4">
        <v>2.94408</v>
      </c>
      <c r="AJ86" s="4">
        <v>-4.6000000000000001E-4</v>
      </c>
      <c r="AK86" s="4">
        <v>-6.9999999999999994E-5</v>
      </c>
      <c r="AL86" s="4">
        <v>0</v>
      </c>
      <c r="AM86" s="4">
        <v>0</v>
      </c>
      <c r="AN86" s="4">
        <v>0.22900000000000001</v>
      </c>
      <c r="AO86" s="5">
        <f t="shared" si="21"/>
        <v>0.63168880455407972</v>
      </c>
      <c r="AP86" s="8">
        <f t="shared" si="22"/>
        <v>144</v>
      </c>
      <c r="AQ86" s="6">
        <f t="shared" si="16"/>
        <v>0.77005347593582885</v>
      </c>
      <c r="AR86" s="5">
        <f t="shared" si="23"/>
        <v>0.65901328273244786</v>
      </c>
      <c r="AS86" s="5">
        <f t="shared" si="24"/>
        <v>0.48763968845242123</v>
      </c>
      <c r="AT86" s="5">
        <f t="shared" si="27"/>
        <v>-4.6330307392897204E-3</v>
      </c>
      <c r="AU86" s="5">
        <f t="shared" si="26"/>
        <v>0</v>
      </c>
      <c r="AV86" s="4">
        <f t="shared" si="17"/>
        <v>0</v>
      </c>
      <c r="AW86" s="4">
        <f t="shared" si="18"/>
        <v>5</v>
      </c>
      <c r="AX86" s="4">
        <f t="shared" si="19"/>
        <v>0</v>
      </c>
      <c r="AY86" s="4">
        <f t="shared" si="20"/>
        <v>0</v>
      </c>
      <c r="AZ86" s="4">
        <f t="shared" si="25"/>
        <v>0</v>
      </c>
    </row>
    <row r="87" spans="1:52" x14ac:dyDescent="0.3">
      <c r="A87" s="4" t="s">
        <v>52</v>
      </c>
      <c r="B87" s="4" t="s">
        <v>56</v>
      </c>
      <c r="C87" s="4" t="s">
        <v>54</v>
      </c>
      <c r="D87" s="4" t="s">
        <v>56</v>
      </c>
      <c r="E87" s="4" t="s">
        <v>55</v>
      </c>
      <c r="F87" s="4">
        <v>2</v>
      </c>
      <c r="G87" s="4">
        <v>0.04</v>
      </c>
      <c r="H87" s="4" t="b">
        <v>0</v>
      </c>
      <c r="I87" s="4" t="b">
        <v>0</v>
      </c>
      <c r="J87" s="4" t="b">
        <v>0</v>
      </c>
      <c r="K87" s="4">
        <v>2.9529999999999998</v>
      </c>
      <c r="L87" s="4">
        <v>5.1999999999999998E-2</v>
      </c>
      <c r="M87" s="4">
        <v>-5.8000000000000003E-2</v>
      </c>
      <c r="N87" s="4">
        <v>10396.698</v>
      </c>
      <c r="O87" s="4">
        <v>0.187</v>
      </c>
      <c r="P87" s="4">
        <v>5.0000000000000001E-3</v>
      </c>
      <c r="Q87" s="5">
        <v>1E-3</v>
      </c>
      <c r="R87" s="5">
        <v>0.18</v>
      </c>
      <c r="S87" s="9">
        <v>1225.0139999999999</v>
      </c>
      <c r="T87" s="4">
        <v>1838.375</v>
      </c>
      <c r="U87" s="4">
        <v>1.744</v>
      </c>
      <c r="V87" s="4">
        <v>2.363</v>
      </c>
      <c r="W87" s="4">
        <v>1.6539999999999999</v>
      </c>
      <c r="X87" s="4">
        <v>3.8029999999999999</v>
      </c>
      <c r="Y87" s="4">
        <v>9.5679999999999996</v>
      </c>
      <c r="Z87" s="8">
        <v>3374</v>
      </c>
      <c r="AA87" s="8">
        <v>5270</v>
      </c>
      <c r="AB87" s="4">
        <v>3520</v>
      </c>
      <c r="AC87" s="4">
        <v>0.06</v>
      </c>
      <c r="AD87" s="5">
        <v>0.95499999999999996</v>
      </c>
      <c r="AE87" s="16">
        <v>0</v>
      </c>
      <c r="AF87" s="4">
        <v>0</v>
      </c>
      <c r="AG87" s="4">
        <v>0.95499999999999996</v>
      </c>
      <c r="AH87" s="4">
        <v>2.96</v>
      </c>
      <c r="AI87" s="4">
        <v>2.92469</v>
      </c>
      <c r="AJ87" s="4">
        <v>-1.25E-3</v>
      </c>
      <c r="AK87" s="4">
        <v>-4.4000000000000002E-4</v>
      </c>
      <c r="AL87" s="4">
        <v>0</v>
      </c>
      <c r="AM87" s="4">
        <v>0</v>
      </c>
      <c r="AN87" s="4">
        <v>0.23300000000000001</v>
      </c>
      <c r="AO87" s="5">
        <f t="shared" si="21"/>
        <v>0.64022770398481976</v>
      </c>
      <c r="AP87" s="8">
        <f t="shared" si="22"/>
        <v>146</v>
      </c>
      <c r="AQ87" s="6">
        <f t="shared" si="16"/>
        <v>0.78074866310160429</v>
      </c>
      <c r="AR87" s="5">
        <f t="shared" si="23"/>
        <v>0.66793168880455411</v>
      </c>
      <c r="AS87" s="5">
        <f t="shared" si="24"/>
        <v>0.4944124619031493</v>
      </c>
      <c r="AT87" s="5">
        <f t="shared" si="27"/>
        <v>4.8549911569856233E-2</v>
      </c>
      <c r="AU87" s="5">
        <f t="shared" si="26"/>
        <v>0.1291906207609328</v>
      </c>
      <c r="AV87" s="4">
        <f t="shared" si="17"/>
        <v>0</v>
      </c>
      <c r="AW87" s="4">
        <f t="shared" si="18"/>
        <v>5</v>
      </c>
      <c r="AX87" s="4">
        <f t="shared" si="19"/>
        <v>0</v>
      </c>
      <c r="AY87" s="4">
        <f t="shared" si="20"/>
        <v>0</v>
      </c>
      <c r="AZ87" s="4">
        <f t="shared" si="25"/>
        <v>0</v>
      </c>
    </row>
    <row r="88" spans="1:52" x14ac:dyDescent="0.3">
      <c r="A88" s="4" t="s">
        <v>52</v>
      </c>
      <c r="B88" s="4" t="s">
        <v>56</v>
      </c>
      <c r="C88" s="4" t="s">
        <v>54</v>
      </c>
      <c r="D88" s="4" t="s">
        <v>56</v>
      </c>
      <c r="E88" s="4" t="s">
        <v>55</v>
      </c>
      <c r="F88" s="4">
        <v>2</v>
      </c>
      <c r="G88" s="4">
        <v>0.04</v>
      </c>
      <c r="H88" s="4" t="b">
        <v>0</v>
      </c>
      <c r="I88" s="4" t="b">
        <v>0</v>
      </c>
      <c r="J88" s="4" t="b">
        <v>0</v>
      </c>
      <c r="K88" s="4">
        <v>2.9529999999999998</v>
      </c>
      <c r="L88" s="4">
        <v>5.1999999999999998E-2</v>
      </c>
      <c r="M88" s="4">
        <v>-5.8000000000000003E-2</v>
      </c>
      <c r="N88" s="4">
        <v>-8965.4210000000003</v>
      </c>
      <c r="O88" s="4">
        <v>-0.21099999999999999</v>
      </c>
      <c r="P88" s="4">
        <v>5.0000000000000001E-3</v>
      </c>
      <c r="Q88" s="5">
        <v>1E-3</v>
      </c>
      <c r="R88" s="5">
        <v>0.18</v>
      </c>
      <c r="S88" s="9">
        <v>1239.1790000000001</v>
      </c>
      <c r="T88" s="4">
        <v>1838.375</v>
      </c>
      <c r="U88" s="4">
        <v>1.518</v>
      </c>
      <c r="V88" s="4">
        <v>2.21</v>
      </c>
      <c r="W88" s="4">
        <v>1.4790000000000001</v>
      </c>
      <c r="X88" s="4">
        <v>3.6230000000000002</v>
      </c>
      <c r="Y88" s="4">
        <v>8.8339999999999996</v>
      </c>
      <c r="Z88" s="8">
        <v>3416</v>
      </c>
      <c r="AA88" s="8">
        <v>5270</v>
      </c>
      <c r="AB88" s="4">
        <v>3562</v>
      </c>
      <c r="AC88" s="4">
        <v>0.06</v>
      </c>
      <c r="AD88" s="5">
        <v>0.94</v>
      </c>
      <c r="AE88" s="16">
        <v>0</v>
      </c>
      <c r="AF88" s="4">
        <v>0</v>
      </c>
      <c r="AG88" s="4">
        <v>0.94</v>
      </c>
      <c r="AH88" s="4">
        <v>2.92</v>
      </c>
      <c r="AI88" s="4">
        <v>2.9391799999999999</v>
      </c>
      <c r="AJ88" s="4">
        <v>1.0200000000000001E-3</v>
      </c>
      <c r="AK88" s="4">
        <v>-1E-4</v>
      </c>
      <c r="AL88" s="4">
        <v>0</v>
      </c>
      <c r="AM88" s="4">
        <v>0</v>
      </c>
      <c r="AN88" s="4">
        <v>0.24399999999999999</v>
      </c>
      <c r="AO88" s="5">
        <f t="shared" si="21"/>
        <v>0.64819734345351043</v>
      </c>
      <c r="AP88" s="8">
        <f t="shared" si="22"/>
        <v>146</v>
      </c>
      <c r="AQ88" s="6">
        <f t="shared" si="16"/>
        <v>0.78074866310160429</v>
      </c>
      <c r="AR88" s="5">
        <f t="shared" si="23"/>
        <v>0.67590132827324478</v>
      </c>
      <c r="AS88" s="5">
        <f t="shared" si="24"/>
        <v>0.4944124619031493</v>
      </c>
      <c r="AT88" s="5">
        <f t="shared" si="27"/>
        <v>2.5838124152186559E-2</v>
      </c>
      <c r="AU88" s="5">
        <f t="shared" si="26"/>
        <v>0</v>
      </c>
      <c r="AV88" s="4">
        <f t="shared" si="17"/>
        <v>0</v>
      </c>
      <c r="AW88" s="4">
        <f t="shared" si="18"/>
        <v>5</v>
      </c>
      <c r="AX88" s="4">
        <f t="shared" si="19"/>
        <v>0</v>
      </c>
      <c r="AY88" s="4">
        <f t="shared" si="20"/>
        <v>0</v>
      </c>
      <c r="AZ88" s="4">
        <f t="shared" si="25"/>
        <v>0</v>
      </c>
    </row>
    <row r="89" spans="1:52" x14ac:dyDescent="0.3">
      <c r="A89" s="4" t="s">
        <v>52</v>
      </c>
      <c r="B89" s="4" t="s">
        <v>56</v>
      </c>
      <c r="C89" s="4" t="s">
        <v>54</v>
      </c>
      <c r="D89" s="4" t="s">
        <v>56</v>
      </c>
      <c r="E89" s="4" t="s">
        <v>55</v>
      </c>
      <c r="F89" s="4">
        <v>2</v>
      </c>
      <c r="G89" s="4">
        <v>0.04</v>
      </c>
      <c r="H89" s="4" t="b">
        <v>0</v>
      </c>
      <c r="I89" s="4" t="b">
        <v>0</v>
      </c>
      <c r="J89" s="4" t="b">
        <v>0</v>
      </c>
      <c r="K89" s="4">
        <v>2.9529999999999998</v>
      </c>
      <c r="L89" s="4">
        <v>5.1999999999999998E-2</v>
      </c>
      <c r="M89" s="4">
        <v>-5.8000000000000003E-2</v>
      </c>
      <c r="N89" s="4">
        <v>-12448.607</v>
      </c>
      <c r="O89" s="4">
        <v>-0.14899999999999999</v>
      </c>
      <c r="P89" s="4">
        <v>5.0000000000000001E-3</v>
      </c>
      <c r="Q89" s="5">
        <v>1E-3</v>
      </c>
      <c r="R89" s="5">
        <v>0.18</v>
      </c>
      <c r="S89" s="9">
        <v>1252.8720000000001</v>
      </c>
      <c r="T89" s="4">
        <v>1838.375</v>
      </c>
      <c r="U89" s="4">
        <v>1.6950000000000001</v>
      </c>
      <c r="V89" s="4">
        <v>2.3519999999999999</v>
      </c>
      <c r="W89" s="4">
        <v>1.5449999999999999</v>
      </c>
      <c r="X89" s="4">
        <v>3.5459999999999998</v>
      </c>
      <c r="Y89" s="4">
        <v>9.141</v>
      </c>
      <c r="Z89" s="8">
        <v>3456</v>
      </c>
      <c r="AA89" s="8">
        <v>5270</v>
      </c>
      <c r="AB89" s="4">
        <v>3602</v>
      </c>
      <c r="AC89" s="4">
        <v>0.06</v>
      </c>
      <c r="AD89" s="5">
        <v>0.93</v>
      </c>
      <c r="AE89" s="16">
        <v>0</v>
      </c>
      <c r="AF89" s="4">
        <v>0</v>
      </c>
      <c r="AG89" s="4">
        <v>0.93</v>
      </c>
      <c r="AH89" s="4">
        <v>2.92</v>
      </c>
      <c r="AI89" s="4">
        <v>2.9261400000000002</v>
      </c>
      <c r="AJ89" s="4">
        <v>-9.5E-4</v>
      </c>
      <c r="AK89" s="4">
        <v>-3.8999999999999999E-4</v>
      </c>
      <c r="AL89" s="4">
        <v>0</v>
      </c>
      <c r="AM89" s="4">
        <v>0</v>
      </c>
      <c r="AN89" s="4">
        <v>0.251</v>
      </c>
      <c r="AO89" s="5">
        <f t="shared" si="21"/>
        <v>0.65578747628083489</v>
      </c>
      <c r="AP89" s="8">
        <f t="shared" si="22"/>
        <v>146</v>
      </c>
      <c r="AQ89" s="6">
        <f t="shared" si="16"/>
        <v>0.78074866310160429</v>
      </c>
      <c r="AR89" s="5">
        <f t="shared" si="23"/>
        <v>0.68349146110056924</v>
      </c>
      <c r="AS89" s="5">
        <f t="shared" si="24"/>
        <v>0.4944124619031493</v>
      </c>
      <c r="AT89" s="5">
        <f t="shared" si="27"/>
        <v>2.5838124152186559E-2</v>
      </c>
      <c r="AU89" s="5">
        <f t="shared" si="26"/>
        <v>0</v>
      </c>
      <c r="AV89" s="4">
        <f t="shared" si="17"/>
        <v>0</v>
      </c>
      <c r="AW89" s="4">
        <f t="shared" si="18"/>
        <v>5</v>
      </c>
      <c r="AX89" s="4">
        <f t="shared" si="19"/>
        <v>0</v>
      </c>
      <c r="AY89" s="4">
        <f t="shared" si="20"/>
        <v>0</v>
      </c>
      <c r="AZ89" s="4">
        <f t="shared" si="25"/>
        <v>0</v>
      </c>
    </row>
    <row r="90" spans="1:52" x14ac:dyDescent="0.3">
      <c r="A90" s="4" t="s">
        <v>52</v>
      </c>
      <c r="B90" s="4" t="s">
        <v>56</v>
      </c>
      <c r="C90" s="4" t="s">
        <v>54</v>
      </c>
      <c r="D90" s="4" t="s">
        <v>56</v>
      </c>
      <c r="E90" s="4" t="s">
        <v>55</v>
      </c>
      <c r="F90" s="4">
        <v>2</v>
      </c>
      <c r="G90" s="4">
        <v>0.04</v>
      </c>
      <c r="H90" s="4" t="b">
        <v>0</v>
      </c>
      <c r="I90" s="4" t="b">
        <v>0</v>
      </c>
      <c r="J90" s="4" t="b">
        <v>0</v>
      </c>
      <c r="K90" s="4">
        <v>2.9529999999999998</v>
      </c>
      <c r="L90" s="4">
        <v>5.1999999999999998E-2</v>
      </c>
      <c r="M90" s="4">
        <v>-5.8000000000000003E-2</v>
      </c>
      <c r="N90" s="4">
        <v>25394.944</v>
      </c>
      <c r="O90" s="4">
        <v>7.0999999999999994E-2</v>
      </c>
      <c r="P90" s="4">
        <v>5.0000000000000001E-3</v>
      </c>
      <c r="Q90" s="5">
        <v>1E-3</v>
      </c>
      <c r="R90" s="5">
        <v>0.18</v>
      </c>
      <c r="S90" s="9">
        <v>1266.165</v>
      </c>
      <c r="T90" s="4">
        <v>1838.375</v>
      </c>
      <c r="U90" s="4">
        <v>1.466</v>
      </c>
      <c r="V90" s="4">
        <v>2.1920000000000002</v>
      </c>
      <c r="W90" s="4">
        <v>1.468</v>
      </c>
      <c r="X90" s="4">
        <v>3.5209999999999999</v>
      </c>
      <c r="Y90" s="4">
        <v>8.65</v>
      </c>
      <c r="Z90" s="8">
        <v>3494</v>
      </c>
      <c r="AA90" s="8">
        <v>5270</v>
      </c>
      <c r="AB90" s="4">
        <v>3643</v>
      </c>
      <c r="AC90" s="4">
        <v>0.06</v>
      </c>
      <c r="AD90" s="5">
        <v>0.93500000000000005</v>
      </c>
      <c r="AE90" s="16">
        <v>0</v>
      </c>
      <c r="AF90" s="4">
        <v>0</v>
      </c>
      <c r="AG90" s="4">
        <v>0.93500000000000005</v>
      </c>
      <c r="AH90" s="4">
        <v>2.9</v>
      </c>
      <c r="AI90" s="4">
        <v>2.9162699999999999</v>
      </c>
      <c r="AJ90" s="4">
        <v>-7.3999999999999999E-4</v>
      </c>
      <c r="AK90" s="4">
        <v>-4.8000000000000001E-4</v>
      </c>
      <c r="AL90" s="4">
        <v>0</v>
      </c>
      <c r="AM90" s="4">
        <v>0</v>
      </c>
      <c r="AN90" s="4">
        <v>0.222</v>
      </c>
      <c r="AO90" s="5">
        <f t="shared" si="21"/>
        <v>0.66299810246679314</v>
      </c>
      <c r="AP90" s="8">
        <f t="shared" si="22"/>
        <v>149</v>
      </c>
      <c r="AQ90" s="6">
        <f t="shared" si="16"/>
        <v>0.79679144385026734</v>
      </c>
      <c r="AR90" s="5">
        <f t="shared" si="23"/>
        <v>0.69127134724857686</v>
      </c>
      <c r="AS90" s="5">
        <f t="shared" si="24"/>
        <v>0.50457162207924144</v>
      </c>
      <c r="AT90" s="5">
        <f t="shared" si="27"/>
        <v>7.0974662179720219E-2</v>
      </c>
      <c r="AU90" s="5">
        <f t="shared" si="26"/>
        <v>0.22568269013766826</v>
      </c>
      <c r="AV90" s="4">
        <f t="shared" si="17"/>
        <v>0</v>
      </c>
      <c r="AW90" s="4">
        <f t="shared" si="18"/>
        <v>5</v>
      </c>
      <c r="AX90" s="4">
        <f t="shared" si="19"/>
        <v>0</v>
      </c>
      <c r="AY90" s="4">
        <f t="shared" si="20"/>
        <v>0</v>
      </c>
      <c r="AZ90" s="4">
        <f t="shared" si="25"/>
        <v>0</v>
      </c>
    </row>
    <row r="91" spans="1:52" x14ac:dyDescent="0.3">
      <c r="A91" s="4" t="s">
        <v>52</v>
      </c>
      <c r="B91" s="4" t="s">
        <v>56</v>
      </c>
      <c r="C91" s="4" t="s">
        <v>54</v>
      </c>
      <c r="D91" s="4" t="s">
        <v>57</v>
      </c>
      <c r="E91" s="4" t="s">
        <v>55</v>
      </c>
      <c r="F91" s="4">
        <v>2</v>
      </c>
      <c r="G91" s="4">
        <v>0.04</v>
      </c>
      <c r="H91" s="4" t="b">
        <v>0</v>
      </c>
      <c r="I91" s="4" t="b">
        <v>0</v>
      </c>
      <c r="J91" s="4" t="b">
        <v>0</v>
      </c>
      <c r="K91" s="4">
        <v>2.9529999999999998</v>
      </c>
      <c r="L91" s="4">
        <v>5.1999999999999998E-2</v>
      </c>
      <c r="M91" s="4">
        <v>-5.8000000000000003E-2</v>
      </c>
      <c r="N91" s="4">
        <v>0</v>
      </c>
      <c r="O91" s="4">
        <v>0</v>
      </c>
      <c r="P91" s="4">
        <v>5.0000000000000001E-3</v>
      </c>
      <c r="Q91" s="5">
        <v>1E-3</v>
      </c>
      <c r="R91" s="5">
        <v>0.18</v>
      </c>
      <c r="S91" s="9">
        <v>1279.018</v>
      </c>
      <c r="T91" s="4">
        <v>1838.375</v>
      </c>
      <c r="U91" s="4">
        <v>1.5549999999999999</v>
      </c>
      <c r="V91" s="4">
        <v>2.1760000000000002</v>
      </c>
      <c r="W91" s="4">
        <v>1.488</v>
      </c>
      <c r="X91" s="4">
        <v>3.8889999999999998</v>
      </c>
      <c r="Y91" s="4">
        <v>9.1129999999999995</v>
      </c>
      <c r="Z91" s="8">
        <v>3532</v>
      </c>
      <c r="AA91" s="8">
        <v>5270</v>
      </c>
      <c r="AB91" s="4">
        <v>3681</v>
      </c>
      <c r="AC91" s="4">
        <v>0.06</v>
      </c>
      <c r="AD91" s="5">
        <v>0.93500000000000005</v>
      </c>
      <c r="AE91" s="16">
        <v>0.08</v>
      </c>
      <c r="AF91" s="4">
        <v>0</v>
      </c>
      <c r="AG91" s="4">
        <v>1</v>
      </c>
      <c r="AH91" s="4">
        <v>2.92</v>
      </c>
      <c r="AI91" s="4">
        <v>2.9214699999999998</v>
      </c>
      <c r="AJ91" s="4">
        <v>4.0000000000000002E-4</v>
      </c>
      <c r="AK91" s="4">
        <v>-3.3E-4</v>
      </c>
      <c r="AL91" s="4">
        <v>0</v>
      </c>
      <c r="AM91" s="4">
        <v>0</v>
      </c>
      <c r="AN91" s="4">
        <v>0.33800000000000002</v>
      </c>
      <c r="AO91" s="5">
        <f t="shared" si="21"/>
        <v>0.67020872865275138</v>
      </c>
      <c r="AP91" s="8">
        <f t="shared" si="22"/>
        <v>149</v>
      </c>
      <c r="AQ91" s="6">
        <f t="shared" si="16"/>
        <v>0.79679144385026734</v>
      </c>
      <c r="AR91" s="5">
        <f t="shared" si="23"/>
        <v>0.69848197343453511</v>
      </c>
      <c r="AS91" s="5">
        <f t="shared" si="24"/>
        <v>0.50457162207924144</v>
      </c>
      <c r="AT91" s="5">
        <f t="shared" si="27"/>
        <v>7.0974662179720219E-2</v>
      </c>
      <c r="AU91" s="5">
        <f t="shared" si="26"/>
        <v>0</v>
      </c>
      <c r="AV91" s="4">
        <f t="shared" si="17"/>
        <v>0</v>
      </c>
      <c r="AW91" s="4">
        <f t="shared" si="18"/>
        <v>5</v>
      </c>
      <c r="AX91" s="4">
        <f t="shared" si="19"/>
        <v>0</v>
      </c>
      <c r="AY91" s="4">
        <f t="shared" si="20"/>
        <v>0</v>
      </c>
      <c r="AZ91" s="4">
        <f t="shared" si="25"/>
        <v>0</v>
      </c>
    </row>
    <row r="92" spans="1:52" x14ac:dyDescent="0.3">
      <c r="A92" s="4" t="s">
        <v>52</v>
      </c>
      <c r="B92" s="4" t="s">
        <v>56</v>
      </c>
      <c r="C92" s="4" t="s">
        <v>54</v>
      </c>
      <c r="D92" s="4" t="s">
        <v>56</v>
      </c>
      <c r="E92" s="4" t="s">
        <v>55</v>
      </c>
      <c r="F92" s="4">
        <v>2</v>
      </c>
      <c r="G92" s="4">
        <v>0.04</v>
      </c>
      <c r="H92" s="4" t="b">
        <v>0</v>
      </c>
      <c r="I92" s="4" t="b">
        <v>0</v>
      </c>
      <c r="J92" s="4" t="b">
        <v>0</v>
      </c>
      <c r="K92" s="4">
        <v>2.9529999999999998</v>
      </c>
      <c r="L92" s="4">
        <v>5.1999999999999998E-2</v>
      </c>
      <c r="M92" s="4">
        <v>-5.8000000000000003E-2</v>
      </c>
      <c r="N92" s="4">
        <v>23141.761999999999</v>
      </c>
      <c r="O92" s="4">
        <v>7.4999999999999997E-2</v>
      </c>
      <c r="P92" s="4">
        <v>5.0000000000000001E-3</v>
      </c>
      <c r="Q92" s="5">
        <v>1E-3</v>
      </c>
      <c r="R92" s="5">
        <v>0.18</v>
      </c>
      <c r="S92" s="9">
        <v>1292.4680000000001</v>
      </c>
      <c r="T92" s="4">
        <v>1838.375</v>
      </c>
      <c r="U92" s="4">
        <v>1.4259999999999999</v>
      </c>
      <c r="V92" s="4">
        <v>2.1240000000000001</v>
      </c>
      <c r="W92" s="4">
        <v>1.472</v>
      </c>
      <c r="X92" s="4">
        <v>3.48</v>
      </c>
      <c r="Y92" s="4">
        <v>8.5060000000000002</v>
      </c>
      <c r="Z92" s="8">
        <v>3571</v>
      </c>
      <c r="AA92" s="8">
        <v>5270</v>
      </c>
      <c r="AB92" s="4">
        <v>3720</v>
      </c>
      <c r="AC92" s="4">
        <v>0.06</v>
      </c>
      <c r="AD92" s="5">
        <v>0.94</v>
      </c>
      <c r="AE92" s="16">
        <v>0</v>
      </c>
      <c r="AF92" s="4">
        <v>0</v>
      </c>
      <c r="AG92" s="4">
        <v>0.94</v>
      </c>
      <c r="AH92" s="4">
        <v>2.88</v>
      </c>
      <c r="AI92" s="4">
        <v>2.92048</v>
      </c>
      <c r="AJ92" s="4">
        <v>-6.9999999999999994E-5</v>
      </c>
      <c r="AK92" s="4">
        <v>-6.0000000000000002E-5</v>
      </c>
      <c r="AL92" s="4">
        <v>0</v>
      </c>
      <c r="AM92" s="4">
        <v>0</v>
      </c>
      <c r="AN92" s="4">
        <v>0.44400000000000001</v>
      </c>
      <c r="AO92" s="5">
        <f t="shared" si="21"/>
        <v>0.67760910815939279</v>
      </c>
      <c r="AP92" s="8">
        <f t="shared" si="22"/>
        <v>149</v>
      </c>
      <c r="AQ92" s="6">
        <f t="shared" si="16"/>
        <v>0.79679144385026734</v>
      </c>
      <c r="AR92" s="5">
        <f t="shared" si="23"/>
        <v>0.70588235294117652</v>
      </c>
      <c r="AS92" s="5">
        <f t="shared" si="24"/>
        <v>0.50457162207924144</v>
      </c>
      <c r="AT92" s="5">
        <f t="shared" si="27"/>
        <v>4.5136538027533653E-2</v>
      </c>
      <c r="AU92" s="5">
        <f t="shared" si="26"/>
        <v>0</v>
      </c>
      <c r="AV92" s="4">
        <f t="shared" si="17"/>
        <v>0</v>
      </c>
      <c r="AW92" s="4">
        <f t="shared" si="18"/>
        <v>5</v>
      </c>
      <c r="AX92" s="4">
        <f t="shared" si="19"/>
        <v>0</v>
      </c>
      <c r="AY92" s="4">
        <f t="shared" si="20"/>
        <v>0</v>
      </c>
      <c r="AZ92" s="4">
        <f t="shared" si="25"/>
        <v>0</v>
      </c>
    </row>
    <row r="93" spans="1:52" x14ac:dyDescent="0.3">
      <c r="A93" s="4" t="s">
        <v>52</v>
      </c>
      <c r="B93" s="4" t="s">
        <v>56</v>
      </c>
      <c r="C93" s="4" t="s">
        <v>54</v>
      </c>
      <c r="D93" s="4" t="s">
        <v>56</v>
      </c>
      <c r="E93" s="4" t="s">
        <v>55</v>
      </c>
      <c r="F93" s="4">
        <v>2</v>
      </c>
      <c r="G93" s="4">
        <v>0.04</v>
      </c>
      <c r="H93" s="4" t="b">
        <v>0</v>
      </c>
      <c r="I93" s="4" t="b">
        <v>0</v>
      </c>
      <c r="J93" s="4" t="b">
        <v>0</v>
      </c>
      <c r="K93" s="4">
        <v>2.9529999999999998</v>
      </c>
      <c r="L93" s="4">
        <v>5.1999999999999998E-2</v>
      </c>
      <c r="M93" s="4">
        <v>-5.8000000000000003E-2</v>
      </c>
      <c r="N93" s="4">
        <v>-21822.666000000001</v>
      </c>
      <c r="O93" s="4">
        <v>-7.8E-2</v>
      </c>
      <c r="P93" s="4">
        <v>5.0000000000000001E-3</v>
      </c>
      <c r="Q93" s="5">
        <v>1E-3</v>
      </c>
      <c r="R93" s="5">
        <v>0.18</v>
      </c>
      <c r="S93" s="9">
        <v>1305.5150000000001</v>
      </c>
      <c r="T93" s="4">
        <v>1838.375</v>
      </c>
      <c r="U93" s="4">
        <v>1.7549999999999999</v>
      </c>
      <c r="V93" s="4">
        <v>2.113</v>
      </c>
      <c r="W93" s="4">
        <v>1.38</v>
      </c>
      <c r="X93" s="4">
        <v>3.5030000000000001</v>
      </c>
      <c r="Y93" s="4">
        <v>8.7539999999999996</v>
      </c>
      <c r="Z93" s="8">
        <v>3610</v>
      </c>
      <c r="AA93" s="8">
        <v>5270</v>
      </c>
      <c r="AB93" s="4">
        <v>3758</v>
      </c>
      <c r="AC93" s="4">
        <v>0.06</v>
      </c>
      <c r="AD93" s="5">
        <v>0.93500000000000005</v>
      </c>
      <c r="AE93" s="16">
        <v>0</v>
      </c>
      <c r="AF93" s="4">
        <v>0</v>
      </c>
      <c r="AG93" s="4">
        <v>0.93500000000000005</v>
      </c>
      <c r="AH93" s="4">
        <v>2.92</v>
      </c>
      <c r="AI93" s="4">
        <v>2.9245100000000002</v>
      </c>
      <c r="AJ93" s="4">
        <v>3.1E-4</v>
      </c>
      <c r="AK93" s="4">
        <v>-2.2000000000000001E-4</v>
      </c>
      <c r="AL93" s="4">
        <v>0</v>
      </c>
      <c r="AM93" s="4">
        <v>0</v>
      </c>
      <c r="AN93" s="4">
        <v>0.313</v>
      </c>
      <c r="AO93" s="5">
        <f t="shared" si="21"/>
        <v>0.6850094876660342</v>
      </c>
      <c r="AP93" s="8">
        <f t="shared" si="22"/>
        <v>148</v>
      </c>
      <c r="AQ93" s="6">
        <f t="shared" si="16"/>
        <v>0.79144385026737973</v>
      </c>
      <c r="AR93" s="5">
        <f t="shared" si="23"/>
        <v>0.71309297912713476</v>
      </c>
      <c r="AS93" s="5">
        <f t="shared" si="24"/>
        <v>0.50118523535387738</v>
      </c>
      <c r="AT93" s="5">
        <f t="shared" si="27"/>
        <v>2.9807343576702072E-2</v>
      </c>
      <c r="AU93" s="5">
        <f t="shared" si="26"/>
        <v>-7.6645972254157896E-2</v>
      </c>
      <c r="AV93" s="4">
        <f t="shared" si="17"/>
        <v>0</v>
      </c>
      <c r="AW93" s="4">
        <f t="shared" si="18"/>
        <v>5</v>
      </c>
      <c r="AX93" s="4">
        <f t="shared" si="19"/>
        <v>0</v>
      </c>
      <c r="AY93" s="4">
        <f t="shared" si="20"/>
        <v>0</v>
      </c>
      <c r="AZ93" s="4">
        <f t="shared" si="25"/>
        <v>0</v>
      </c>
    </row>
    <row r="94" spans="1:52" x14ac:dyDescent="0.3">
      <c r="A94" s="4" t="s">
        <v>52</v>
      </c>
      <c r="B94" s="4" t="s">
        <v>56</v>
      </c>
      <c r="C94" s="4" t="s">
        <v>54</v>
      </c>
      <c r="D94" s="4" t="s">
        <v>56</v>
      </c>
      <c r="E94" s="4" t="s">
        <v>55</v>
      </c>
      <c r="F94" s="4">
        <v>2</v>
      </c>
      <c r="G94" s="4">
        <v>0.04</v>
      </c>
      <c r="H94" s="4" t="b">
        <v>0</v>
      </c>
      <c r="I94" s="4" t="b">
        <v>0</v>
      </c>
      <c r="J94" s="4" t="b">
        <v>0</v>
      </c>
      <c r="K94" s="4">
        <v>2.9529999999999998</v>
      </c>
      <c r="L94" s="4">
        <v>5.1999999999999998E-2</v>
      </c>
      <c r="M94" s="4">
        <v>-5.8000000000000003E-2</v>
      </c>
      <c r="N94" s="4">
        <v>22065.414000000001</v>
      </c>
      <c r="O94" s="4">
        <v>7.4999999999999997E-2</v>
      </c>
      <c r="P94" s="4">
        <v>5.0000000000000001E-3</v>
      </c>
      <c r="Q94" s="5">
        <v>1E-3</v>
      </c>
      <c r="R94" s="5">
        <v>0.18</v>
      </c>
      <c r="S94" s="9">
        <v>1318.538</v>
      </c>
      <c r="T94" s="4">
        <v>1838.375</v>
      </c>
      <c r="U94" s="4">
        <v>1.6579999999999999</v>
      </c>
      <c r="V94" s="4">
        <v>2.2029999999999998</v>
      </c>
      <c r="W94" s="4">
        <v>1.4830000000000001</v>
      </c>
      <c r="X94" s="4">
        <v>3.5569999999999999</v>
      </c>
      <c r="Y94" s="4">
        <v>8.9049999999999994</v>
      </c>
      <c r="Z94" s="8">
        <v>3648</v>
      </c>
      <c r="AA94" s="8">
        <v>5270</v>
      </c>
      <c r="AB94" s="4">
        <v>3798</v>
      </c>
      <c r="AC94" s="4">
        <v>0.06</v>
      </c>
      <c r="AD94" s="5">
        <v>0.94</v>
      </c>
      <c r="AE94" s="16">
        <v>0</v>
      </c>
      <c r="AF94" s="4">
        <v>0</v>
      </c>
      <c r="AG94" s="4">
        <v>0.94</v>
      </c>
      <c r="AH94" s="4">
        <v>2.96</v>
      </c>
      <c r="AI94" s="4">
        <v>2.92388</v>
      </c>
      <c r="AJ94" s="4">
        <v>-5.0000000000000002E-5</v>
      </c>
      <c r="AK94" s="4">
        <v>-3.0000000000000001E-5</v>
      </c>
      <c r="AL94" s="4">
        <v>0</v>
      </c>
      <c r="AM94" s="4">
        <v>0</v>
      </c>
      <c r="AN94" s="4">
        <v>0.22900000000000001</v>
      </c>
      <c r="AO94" s="5">
        <f t="shared" si="21"/>
        <v>0.69222011385199245</v>
      </c>
      <c r="AP94" s="8">
        <f t="shared" si="22"/>
        <v>150</v>
      </c>
      <c r="AQ94" s="6">
        <f t="shared" si="16"/>
        <v>0.80213903743315507</v>
      </c>
      <c r="AR94" s="5">
        <f t="shared" si="23"/>
        <v>0.72068311195445922</v>
      </c>
      <c r="AS94" s="5">
        <f t="shared" si="24"/>
        <v>0.50795800880460551</v>
      </c>
      <c r="AT94" s="5">
        <f t="shared" si="27"/>
        <v>6.0522232619165617E-2</v>
      </c>
      <c r="AU94" s="5">
        <f t="shared" si="26"/>
        <v>0.15357444521231772</v>
      </c>
      <c r="AV94" s="4">
        <f t="shared" si="17"/>
        <v>0</v>
      </c>
      <c r="AW94" s="4">
        <f t="shared" si="18"/>
        <v>5</v>
      </c>
      <c r="AX94" s="4">
        <f t="shared" si="19"/>
        <v>0</v>
      </c>
      <c r="AY94" s="4">
        <f t="shared" si="20"/>
        <v>0</v>
      </c>
      <c r="AZ94" s="4">
        <f t="shared" si="25"/>
        <v>0</v>
      </c>
    </row>
    <row r="95" spans="1:52" x14ac:dyDescent="0.3">
      <c r="A95" s="4" t="s">
        <v>52</v>
      </c>
      <c r="B95" s="4" t="s">
        <v>56</v>
      </c>
      <c r="C95" s="4" t="s">
        <v>54</v>
      </c>
      <c r="D95" s="4" t="s">
        <v>57</v>
      </c>
      <c r="E95" s="4" t="s">
        <v>55</v>
      </c>
      <c r="F95" s="4">
        <v>2</v>
      </c>
      <c r="G95" s="4">
        <v>0.04</v>
      </c>
      <c r="H95" s="4" t="b">
        <v>0</v>
      </c>
      <c r="I95" s="4" t="b">
        <v>0</v>
      </c>
      <c r="J95" s="4" t="b">
        <v>0</v>
      </c>
      <c r="K95" s="4">
        <v>2.9529999999999998</v>
      </c>
      <c r="L95" s="4">
        <v>5.1999999999999998E-2</v>
      </c>
      <c r="M95" s="4">
        <v>-5.8000000000000003E-2</v>
      </c>
      <c r="N95" s="4">
        <v>0</v>
      </c>
      <c r="O95" s="4">
        <v>0</v>
      </c>
      <c r="P95" s="4">
        <v>5.0000000000000001E-3</v>
      </c>
      <c r="Q95" s="5">
        <v>1E-3</v>
      </c>
      <c r="R95" s="5">
        <v>0.18</v>
      </c>
      <c r="S95" s="9">
        <v>1331.7270000000001</v>
      </c>
      <c r="T95" s="4">
        <v>1838.375</v>
      </c>
      <c r="U95" s="4">
        <v>1.5109999999999999</v>
      </c>
      <c r="V95" s="4">
        <v>2.2200000000000002</v>
      </c>
      <c r="W95" s="4">
        <v>1.4590000000000001</v>
      </c>
      <c r="X95" s="4">
        <v>3.5249999999999999</v>
      </c>
      <c r="Y95" s="4">
        <v>8.7189999999999994</v>
      </c>
      <c r="Z95" s="8">
        <v>3687</v>
      </c>
      <c r="AA95" s="8">
        <v>5270</v>
      </c>
      <c r="AB95" s="4">
        <v>3836</v>
      </c>
      <c r="AC95" s="4">
        <v>0.06</v>
      </c>
      <c r="AD95" s="5">
        <v>0.94</v>
      </c>
      <c r="AE95" s="16">
        <v>0.08</v>
      </c>
      <c r="AF95" s="4">
        <v>0</v>
      </c>
      <c r="AG95" s="4">
        <v>1</v>
      </c>
      <c r="AH95" s="4">
        <v>2.94</v>
      </c>
      <c r="AI95" s="4">
        <v>2.9437899999999999</v>
      </c>
      <c r="AJ95" s="4">
        <v>1.5100000000000001E-3</v>
      </c>
      <c r="AK95" s="4">
        <v>4.2000000000000002E-4</v>
      </c>
      <c r="AL95" s="4">
        <v>0</v>
      </c>
      <c r="AM95" s="4">
        <v>0</v>
      </c>
      <c r="AN95" s="4">
        <v>0.23599999999999999</v>
      </c>
      <c r="AO95" s="5">
        <f t="shared" si="21"/>
        <v>0.69962049335863374</v>
      </c>
      <c r="AP95" s="8">
        <f t="shared" si="22"/>
        <v>149</v>
      </c>
      <c r="AQ95" s="6">
        <f t="shared" si="16"/>
        <v>0.79679144385026734</v>
      </c>
      <c r="AR95" s="5">
        <f t="shared" si="23"/>
        <v>0.72789373814041747</v>
      </c>
      <c r="AS95" s="5">
        <f t="shared" si="24"/>
        <v>0.50457162207924144</v>
      </c>
      <c r="AT95" s="5">
        <f t="shared" si="27"/>
        <v>2.2154264682956726E-4</v>
      </c>
      <c r="AU95" s="5">
        <f t="shared" si="26"/>
        <v>-7.5820759724011991E-2</v>
      </c>
      <c r="AV95" s="4">
        <f t="shared" si="17"/>
        <v>0</v>
      </c>
      <c r="AW95" s="4">
        <f t="shared" si="18"/>
        <v>5</v>
      </c>
      <c r="AX95" s="4">
        <f t="shared" si="19"/>
        <v>0</v>
      </c>
      <c r="AY95" s="4">
        <f t="shared" si="20"/>
        <v>0</v>
      </c>
      <c r="AZ95" s="4">
        <f t="shared" si="25"/>
        <v>0</v>
      </c>
    </row>
    <row r="96" spans="1:52" x14ac:dyDescent="0.3">
      <c r="A96" s="4" t="s">
        <v>52</v>
      </c>
      <c r="B96" s="4" t="s">
        <v>56</v>
      </c>
      <c r="C96" s="4" t="s">
        <v>54</v>
      </c>
      <c r="D96" s="4" t="s">
        <v>57</v>
      </c>
      <c r="E96" s="4" t="s">
        <v>55</v>
      </c>
      <c r="F96" s="4">
        <v>2</v>
      </c>
      <c r="G96" s="4">
        <v>0.04</v>
      </c>
      <c r="H96" s="4" t="b">
        <v>0</v>
      </c>
      <c r="I96" s="4" t="b">
        <v>0</v>
      </c>
      <c r="J96" s="4" t="b">
        <v>0</v>
      </c>
      <c r="K96" s="4">
        <v>2.9529999999999998</v>
      </c>
      <c r="L96" s="4">
        <v>5.1999999999999998E-2</v>
      </c>
      <c r="M96" s="4">
        <v>-5.8000000000000003E-2</v>
      </c>
      <c r="N96" s="4">
        <v>0</v>
      </c>
      <c r="O96" s="4">
        <v>0</v>
      </c>
      <c r="P96" s="4">
        <v>5.0000000000000001E-3</v>
      </c>
      <c r="Q96" s="5">
        <v>1E-3</v>
      </c>
      <c r="R96" s="5">
        <v>0.18</v>
      </c>
      <c r="S96" s="9">
        <v>1346.44</v>
      </c>
      <c r="T96" s="4">
        <v>1838.375</v>
      </c>
      <c r="U96" s="4">
        <v>1.7989999999999999</v>
      </c>
      <c r="V96" s="4">
        <v>2.2450000000000001</v>
      </c>
      <c r="W96" s="4">
        <v>1.879</v>
      </c>
      <c r="X96" s="4">
        <v>4.0940000000000003</v>
      </c>
      <c r="Y96" s="4">
        <v>10.02</v>
      </c>
      <c r="Z96" s="8">
        <v>3731</v>
      </c>
      <c r="AA96" s="8">
        <v>5270</v>
      </c>
      <c r="AB96" s="4">
        <v>3875</v>
      </c>
      <c r="AC96" s="4">
        <v>0.06</v>
      </c>
      <c r="AD96" s="5">
        <v>0.94</v>
      </c>
      <c r="AE96" s="16">
        <v>0.08</v>
      </c>
      <c r="AF96" s="4">
        <v>0</v>
      </c>
      <c r="AG96" s="4">
        <v>1</v>
      </c>
      <c r="AH96" s="4">
        <v>2.94</v>
      </c>
      <c r="AI96" s="4">
        <v>2.9515899999999999</v>
      </c>
      <c r="AJ96" s="4">
        <v>5.2999999999999998E-4</v>
      </c>
      <c r="AK96" s="4">
        <v>4.4999999999999999E-4</v>
      </c>
      <c r="AL96" s="4">
        <v>0</v>
      </c>
      <c r="AM96" s="4">
        <v>0</v>
      </c>
      <c r="AN96" s="4">
        <v>0.39300000000000002</v>
      </c>
      <c r="AO96" s="5">
        <f t="shared" si="21"/>
        <v>0.70796963946869074</v>
      </c>
      <c r="AP96" s="8">
        <f t="shared" si="22"/>
        <v>144</v>
      </c>
      <c r="AQ96" s="6">
        <f t="shared" si="16"/>
        <v>0.77005347593582885</v>
      </c>
      <c r="AR96" s="5">
        <f t="shared" si="23"/>
        <v>0.73529411764705888</v>
      </c>
      <c r="AS96" s="5">
        <f t="shared" si="24"/>
        <v>0.48763968845242123</v>
      </c>
      <c r="AT96" s="5">
        <f t="shared" si="27"/>
        <v>-6.7745561274872496E-2</v>
      </c>
      <c r="AU96" s="5">
        <f t="shared" si="26"/>
        <v>-0.33983551960851027</v>
      </c>
      <c r="AV96" s="4">
        <f t="shared" si="17"/>
        <v>0</v>
      </c>
      <c r="AW96" s="4">
        <f t="shared" si="18"/>
        <v>5</v>
      </c>
      <c r="AX96" s="4">
        <f t="shared" si="19"/>
        <v>0</v>
      </c>
      <c r="AY96" s="4">
        <f t="shared" si="20"/>
        <v>0</v>
      </c>
      <c r="AZ96" s="4">
        <f t="shared" si="25"/>
        <v>0</v>
      </c>
    </row>
    <row r="97" spans="1:52" x14ac:dyDescent="0.3">
      <c r="A97" s="4" t="s">
        <v>52</v>
      </c>
      <c r="B97" s="4" t="s">
        <v>56</v>
      </c>
      <c r="C97" s="4" t="s">
        <v>54</v>
      </c>
      <c r="D97" s="4" t="s">
        <v>56</v>
      </c>
      <c r="E97" s="4" t="s">
        <v>55</v>
      </c>
      <c r="F97" s="4">
        <v>2</v>
      </c>
      <c r="G97" s="4">
        <v>0.04</v>
      </c>
      <c r="H97" s="4" t="b">
        <v>0</v>
      </c>
      <c r="I97" s="4" t="b">
        <v>0</v>
      </c>
      <c r="J97" s="4" t="b">
        <v>0</v>
      </c>
      <c r="K97" s="4">
        <v>2.9529999999999998</v>
      </c>
      <c r="L97" s="4">
        <v>5.1999999999999998E-2</v>
      </c>
      <c r="M97" s="4">
        <v>-5.8000000000000003E-2</v>
      </c>
      <c r="N97" s="4">
        <v>8216.3590000000004</v>
      </c>
      <c r="O97" s="4">
        <v>0.187</v>
      </c>
      <c r="P97" s="4">
        <v>5.0000000000000001E-3</v>
      </c>
      <c r="Q97" s="5">
        <v>1E-3</v>
      </c>
      <c r="R97" s="5">
        <v>0.18</v>
      </c>
      <c r="S97" s="9">
        <v>1362.9939999999999</v>
      </c>
      <c r="T97" s="4">
        <v>1838.375</v>
      </c>
      <c r="U97" s="4">
        <v>1.6659999999999999</v>
      </c>
      <c r="V97" s="4">
        <v>2.3540000000000001</v>
      </c>
      <c r="W97" s="4">
        <v>2.1219999999999999</v>
      </c>
      <c r="X97" s="4">
        <v>4.1790000000000003</v>
      </c>
      <c r="Y97" s="4">
        <v>10.324999999999999</v>
      </c>
      <c r="Z97" s="8">
        <v>3781</v>
      </c>
      <c r="AA97" s="8">
        <v>5270</v>
      </c>
      <c r="AB97" s="4">
        <v>3922</v>
      </c>
      <c r="AC97" s="4">
        <v>0.06</v>
      </c>
      <c r="AD97" s="5">
        <v>0.95499999999999996</v>
      </c>
      <c r="AE97" s="16">
        <v>0</v>
      </c>
      <c r="AF97" s="4">
        <v>0</v>
      </c>
      <c r="AG97" s="4">
        <v>0.95499999999999996</v>
      </c>
      <c r="AH97" s="4">
        <v>2.96</v>
      </c>
      <c r="AI97" s="4">
        <v>2.9776400000000001</v>
      </c>
      <c r="AJ97" s="4">
        <v>1.57E-3</v>
      </c>
      <c r="AK97" s="4">
        <v>8.0999999999999996E-4</v>
      </c>
      <c r="AL97" s="4">
        <v>0</v>
      </c>
      <c r="AM97" s="4">
        <v>0</v>
      </c>
      <c r="AN97" s="4">
        <v>0.40799999999999997</v>
      </c>
      <c r="AO97" s="5">
        <f t="shared" si="21"/>
        <v>0.71745730550284625</v>
      </c>
      <c r="AP97" s="8">
        <f t="shared" si="22"/>
        <v>141</v>
      </c>
      <c r="AQ97" s="6">
        <f t="shared" si="16"/>
        <v>0.75401069518716579</v>
      </c>
      <c r="AR97" s="5">
        <f t="shared" si="23"/>
        <v>0.74421252371916513</v>
      </c>
      <c r="AS97" s="5">
        <f t="shared" si="24"/>
        <v>0.47748052827632914</v>
      </c>
      <c r="AT97" s="5">
        <f t="shared" si="27"/>
        <v>-0.10399057758513013</v>
      </c>
      <c r="AU97" s="5">
        <f t="shared" si="26"/>
        <v>-0.18122508155128822</v>
      </c>
      <c r="AV97" s="4">
        <f t="shared" si="17"/>
        <v>0</v>
      </c>
      <c r="AW97" s="4">
        <f t="shared" si="18"/>
        <v>5</v>
      </c>
      <c r="AX97" s="4">
        <f t="shared" si="19"/>
        <v>0</v>
      </c>
      <c r="AY97" s="4">
        <f t="shared" si="20"/>
        <v>0</v>
      </c>
      <c r="AZ97" s="4">
        <f t="shared" si="25"/>
        <v>0</v>
      </c>
    </row>
    <row r="98" spans="1:52" x14ac:dyDescent="0.3">
      <c r="A98" s="4" t="s">
        <v>52</v>
      </c>
      <c r="B98" s="4" t="s">
        <v>56</v>
      </c>
      <c r="C98" s="4" t="s">
        <v>54</v>
      </c>
      <c r="D98" s="4" t="s">
        <v>57</v>
      </c>
      <c r="E98" s="4" t="s">
        <v>55</v>
      </c>
      <c r="F98" s="4">
        <v>2</v>
      </c>
      <c r="G98" s="4">
        <v>0.04</v>
      </c>
      <c r="H98" s="4" t="b">
        <v>0</v>
      </c>
      <c r="I98" s="4" t="b">
        <v>0</v>
      </c>
      <c r="J98" s="4" t="b">
        <v>0</v>
      </c>
      <c r="K98" s="4">
        <v>2.9529999999999998</v>
      </c>
      <c r="L98" s="4">
        <v>5.1999999999999998E-2</v>
      </c>
      <c r="M98" s="4">
        <v>-5.8000000000000003E-2</v>
      </c>
      <c r="N98" s="4">
        <v>0</v>
      </c>
      <c r="O98" s="4">
        <v>0</v>
      </c>
      <c r="P98" s="4">
        <v>5.0000000000000001E-3</v>
      </c>
      <c r="Q98" s="5">
        <v>1E-3</v>
      </c>
      <c r="R98" s="5">
        <v>0.18</v>
      </c>
      <c r="S98" s="9">
        <v>1378.204</v>
      </c>
      <c r="T98" s="4">
        <v>1838.375</v>
      </c>
      <c r="U98" s="4">
        <v>2.036</v>
      </c>
      <c r="V98" s="4">
        <v>2.1389999999999998</v>
      </c>
      <c r="W98" s="4">
        <v>1.3919999999999999</v>
      </c>
      <c r="X98" s="4">
        <v>3.5619999999999998</v>
      </c>
      <c r="Y98" s="4">
        <v>9.1329999999999991</v>
      </c>
      <c r="Z98" s="8">
        <v>3827</v>
      </c>
      <c r="AA98" s="8">
        <v>5270</v>
      </c>
      <c r="AB98" s="4">
        <v>3972</v>
      </c>
      <c r="AC98" s="4">
        <v>0.06</v>
      </c>
      <c r="AD98" s="5">
        <v>0.95499999999999996</v>
      </c>
      <c r="AE98" s="16">
        <v>0.08</v>
      </c>
      <c r="AF98" s="4">
        <v>0</v>
      </c>
      <c r="AG98" s="4">
        <v>1</v>
      </c>
      <c r="AH98" s="4">
        <v>2.96</v>
      </c>
      <c r="AI98" s="4">
        <v>2.9853100000000001</v>
      </c>
      <c r="AJ98" s="4">
        <v>5.0000000000000001E-4</v>
      </c>
      <c r="AK98" s="4">
        <v>8.4000000000000003E-4</v>
      </c>
      <c r="AL98" s="4">
        <v>0</v>
      </c>
      <c r="AM98" s="4">
        <v>0</v>
      </c>
      <c r="AN98" s="4">
        <v>0.27700000000000002</v>
      </c>
      <c r="AO98" s="5">
        <f t="shared" si="21"/>
        <v>0.72618595825426946</v>
      </c>
      <c r="AP98" s="8">
        <f t="shared" si="22"/>
        <v>145</v>
      </c>
      <c r="AQ98" s="6">
        <f t="shared" si="16"/>
        <v>0.77540106951871657</v>
      </c>
      <c r="AR98" s="5">
        <f t="shared" si="23"/>
        <v>0.75370018975332065</v>
      </c>
      <c r="AS98" s="5">
        <f t="shared" si="24"/>
        <v>0.49102607517778529</v>
      </c>
      <c r="AT98" s="5">
        <f t="shared" si="27"/>
        <v>-3.6064407460399919E-2</v>
      </c>
      <c r="AU98" s="5">
        <f t="shared" si="26"/>
        <v>0.26298487836949314</v>
      </c>
      <c r="AV98" s="4">
        <f t="shared" ref="AV98:AV129" si="28">IF(B98="ACCELERATION",5,0)</f>
        <v>0</v>
      </c>
      <c r="AW98" s="4">
        <f t="shared" ref="AW98:AW129" si="29">IF(B98="CRUISING",5,0)</f>
        <v>5</v>
      </c>
      <c r="AX98" s="4">
        <f t="shared" ref="AX98:AX129" si="30">IF(B98="DECELERATION",5,0)</f>
        <v>0</v>
      </c>
      <c r="AY98" s="4">
        <f t="shared" ref="AY98:AY129" si="31">IF(B98="END",5,0)</f>
        <v>0</v>
      </c>
      <c r="AZ98" s="4">
        <f t="shared" si="25"/>
        <v>0</v>
      </c>
    </row>
    <row r="99" spans="1:52" x14ac:dyDescent="0.3">
      <c r="A99" s="4" t="s">
        <v>52</v>
      </c>
      <c r="B99" s="4" t="s">
        <v>56</v>
      </c>
      <c r="C99" s="4" t="s">
        <v>54</v>
      </c>
      <c r="D99" s="4" t="s">
        <v>56</v>
      </c>
      <c r="E99" s="4" t="s">
        <v>55</v>
      </c>
      <c r="F99" s="4">
        <v>2</v>
      </c>
      <c r="G99" s="4">
        <v>0.04</v>
      </c>
      <c r="H99" s="4" t="b">
        <v>0</v>
      </c>
      <c r="I99" s="4" t="b">
        <v>0</v>
      </c>
      <c r="J99" s="4" t="b">
        <v>0</v>
      </c>
      <c r="K99" s="4">
        <v>2.9529999999999998</v>
      </c>
      <c r="L99" s="4">
        <v>5.1999999999999998E-2</v>
      </c>
      <c r="M99" s="4">
        <v>-5.8000000000000003E-2</v>
      </c>
      <c r="N99" s="4">
        <v>-4044.2719999999999</v>
      </c>
      <c r="O99" s="4">
        <v>-0.35699999999999998</v>
      </c>
      <c r="P99" s="4">
        <v>5.0000000000000001E-3</v>
      </c>
      <c r="Q99" s="5">
        <v>1E-3</v>
      </c>
      <c r="R99" s="5">
        <v>0.18</v>
      </c>
      <c r="S99" s="9">
        <v>1392.172</v>
      </c>
      <c r="T99" s="4">
        <v>1838.375</v>
      </c>
      <c r="U99" s="4">
        <v>1.637</v>
      </c>
      <c r="V99" s="4">
        <v>2.1930000000000001</v>
      </c>
      <c r="W99" s="4">
        <v>1.4370000000000001</v>
      </c>
      <c r="X99" s="4">
        <v>5.0090000000000003</v>
      </c>
      <c r="Y99" s="4">
        <v>10.28</v>
      </c>
      <c r="Z99" s="8">
        <v>3869</v>
      </c>
      <c r="AA99" s="8">
        <v>5270</v>
      </c>
      <c r="AB99" s="4">
        <v>4013</v>
      </c>
      <c r="AC99" s="4">
        <v>0.06</v>
      </c>
      <c r="AD99" s="5">
        <v>0.93</v>
      </c>
      <c r="AE99" s="16">
        <v>0</v>
      </c>
      <c r="AF99" s="4">
        <v>0</v>
      </c>
      <c r="AG99" s="4">
        <v>0.93</v>
      </c>
      <c r="AH99" s="4">
        <v>3.02</v>
      </c>
      <c r="AI99" s="4">
        <v>3.00135</v>
      </c>
      <c r="AJ99" s="4">
        <v>1.15E-3</v>
      </c>
      <c r="AK99" s="4">
        <v>1.0499999999999999E-3</v>
      </c>
      <c r="AL99" s="4">
        <v>0</v>
      </c>
      <c r="AM99" s="4">
        <v>0</v>
      </c>
      <c r="AN99" s="4">
        <v>0.33800000000000002</v>
      </c>
      <c r="AO99" s="5">
        <f t="shared" si="21"/>
        <v>0.73415559772296013</v>
      </c>
      <c r="AP99" s="8">
        <f t="shared" si="22"/>
        <v>144</v>
      </c>
      <c r="AQ99" s="6">
        <f t="shared" si="16"/>
        <v>0.77005347593582885</v>
      </c>
      <c r="AR99" s="5">
        <f t="shared" si="23"/>
        <v>0.76148007590132827</v>
      </c>
      <c r="AS99" s="5">
        <f t="shared" si="24"/>
        <v>0.48763968845242123</v>
      </c>
      <c r="AT99" s="5">
        <f t="shared" si="27"/>
        <v>-8.1097738656357096E-2</v>
      </c>
      <c r="AU99" s="5">
        <f t="shared" si="26"/>
        <v>-7.159221076746812E-2</v>
      </c>
      <c r="AV99" s="4">
        <f t="shared" si="28"/>
        <v>0</v>
      </c>
      <c r="AW99" s="4">
        <f t="shared" si="29"/>
        <v>5</v>
      </c>
      <c r="AX99" s="4">
        <f t="shared" si="30"/>
        <v>0</v>
      </c>
      <c r="AY99" s="4">
        <f t="shared" si="31"/>
        <v>0</v>
      </c>
      <c r="AZ99" s="4">
        <f t="shared" si="25"/>
        <v>0</v>
      </c>
    </row>
    <row r="100" spans="1:52" x14ac:dyDescent="0.3">
      <c r="A100" s="4" t="s">
        <v>52</v>
      </c>
      <c r="B100" s="4" t="s">
        <v>56</v>
      </c>
      <c r="C100" s="4" t="s">
        <v>54</v>
      </c>
      <c r="D100" s="4" t="s">
        <v>56</v>
      </c>
      <c r="E100" s="4" t="s">
        <v>55</v>
      </c>
      <c r="F100" s="4">
        <v>2</v>
      </c>
      <c r="G100" s="4">
        <v>0.04</v>
      </c>
      <c r="H100" s="4" t="b">
        <v>0</v>
      </c>
      <c r="I100" s="4" t="b">
        <v>0</v>
      </c>
      <c r="J100" s="4" t="b">
        <v>0</v>
      </c>
      <c r="K100" s="4">
        <v>2.9529999999999998</v>
      </c>
      <c r="L100" s="4">
        <v>5.1999999999999998E-2</v>
      </c>
      <c r="M100" s="4">
        <v>-5.8000000000000003E-2</v>
      </c>
      <c r="N100" s="4">
        <v>7058.317</v>
      </c>
      <c r="O100" s="4">
        <v>0.19800000000000001</v>
      </c>
      <c r="P100" s="4">
        <v>5.0000000000000001E-3</v>
      </c>
      <c r="Q100" s="5">
        <v>1E-3</v>
      </c>
      <c r="R100" s="5">
        <v>0.18</v>
      </c>
      <c r="S100" s="9">
        <v>1408.347</v>
      </c>
      <c r="T100" s="4">
        <v>1838.375</v>
      </c>
      <c r="U100" s="4">
        <v>1.3740000000000001</v>
      </c>
      <c r="V100" s="4">
        <v>2.35</v>
      </c>
      <c r="W100" s="4">
        <v>1.7410000000000001</v>
      </c>
      <c r="X100" s="4">
        <v>4.5110000000000001</v>
      </c>
      <c r="Y100" s="4">
        <v>9.9789999999999992</v>
      </c>
      <c r="Z100" s="8">
        <v>3918</v>
      </c>
      <c r="AA100" s="8">
        <v>5270</v>
      </c>
      <c r="AB100" s="4">
        <v>4058</v>
      </c>
      <c r="AC100" s="4">
        <v>0.06</v>
      </c>
      <c r="AD100" s="5">
        <v>0.94499999999999995</v>
      </c>
      <c r="AE100" s="16">
        <v>0</v>
      </c>
      <c r="AF100" s="4">
        <v>0</v>
      </c>
      <c r="AG100" s="4">
        <v>0.94499999999999995</v>
      </c>
      <c r="AH100" s="4">
        <v>3</v>
      </c>
      <c r="AI100" s="4">
        <v>3.0148700000000002</v>
      </c>
      <c r="AJ100" s="4">
        <v>8.4000000000000003E-4</v>
      </c>
      <c r="AK100" s="4">
        <v>9.3000000000000005E-4</v>
      </c>
      <c r="AL100" s="4">
        <v>0</v>
      </c>
      <c r="AM100" s="4">
        <v>0</v>
      </c>
      <c r="AN100" s="4">
        <v>0.17100000000000001</v>
      </c>
      <c r="AO100" s="5">
        <f t="shared" si="21"/>
        <v>0.7434535104364326</v>
      </c>
      <c r="AP100" s="8">
        <f t="shared" si="22"/>
        <v>140</v>
      </c>
      <c r="AQ100" s="6">
        <f t="shared" si="16"/>
        <v>0.74866310160427807</v>
      </c>
      <c r="AR100" s="5">
        <f t="shared" si="23"/>
        <v>0.77001897533206831</v>
      </c>
      <c r="AS100" s="5">
        <f t="shared" si="24"/>
        <v>0.47409414155096508</v>
      </c>
      <c r="AT100" s="5">
        <f t="shared" si="27"/>
        <v>-0.1153926284426213</v>
      </c>
      <c r="AU100" s="5">
        <f t="shared" si="26"/>
        <v>-0.247295208655333</v>
      </c>
      <c r="AV100" s="4">
        <f t="shared" si="28"/>
        <v>0</v>
      </c>
      <c r="AW100" s="4">
        <f t="shared" si="29"/>
        <v>5</v>
      </c>
      <c r="AX100" s="4">
        <f t="shared" si="30"/>
        <v>0</v>
      </c>
      <c r="AY100" s="4">
        <f t="shared" si="31"/>
        <v>0</v>
      </c>
      <c r="AZ100" s="4">
        <f t="shared" si="25"/>
        <v>0</v>
      </c>
    </row>
    <row r="101" spans="1:52" x14ac:dyDescent="0.3">
      <c r="A101" s="4" t="s">
        <v>52</v>
      </c>
      <c r="B101" s="4" t="s">
        <v>56</v>
      </c>
      <c r="C101" s="4" t="s">
        <v>54</v>
      </c>
      <c r="D101" s="4" t="s">
        <v>56</v>
      </c>
      <c r="E101" s="4" t="s">
        <v>55</v>
      </c>
      <c r="F101" s="4">
        <v>2</v>
      </c>
      <c r="G101" s="4">
        <v>0.04</v>
      </c>
      <c r="H101" s="4" t="b">
        <v>0</v>
      </c>
      <c r="I101" s="4" t="b">
        <v>0</v>
      </c>
      <c r="J101" s="4" t="b">
        <v>0</v>
      </c>
      <c r="K101" s="4">
        <v>2.9529999999999998</v>
      </c>
      <c r="L101" s="4">
        <v>5.1999999999999998E-2</v>
      </c>
      <c r="M101" s="4">
        <v>-5.8000000000000003E-2</v>
      </c>
      <c r="N101" s="4">
        <v>-10755.837</v>
      </c>
      <c r="O101" s="4">
        <v>-0.126</v>
      </c>
      <c r="P101" s="4">
        <v>5.0000000000000001E-3</v>
      </c>
      <c r="Q101" s="5">
        <v>1E-3</v>
      </c>
      <c r="R101" s="5">
        <v>0.18</v>
      </c>
      <c r="S101" s="9">
        <v>1423.6659999999999</v>
      </c>
      <c r="T101" s="4">
        <v>1838.375</v>
      </c>
      <c r="U101" s="4">
        <v>1.629</v>
      </c>
      <c r="V101" s="4">
        <v>2.3319999999999999</v>
      </c>
      <c r="W101" s="4">
        <v>1.5209999999999999</v>
      </c>
      <c r="X101" s="4">
        <v>4.4349999999999996</v>
      </c>
      <c r="Y101" s="4">
        <v>9.9209999999999994</v>
      </c>
      <c r="Z101" s="8">
        <v>3963</v>
      </c>
      <c r="AA101" s="8">
        <v>5270</v>
      </c>
      <c r="AB101" s="4">
        <v>4105</v>
      </c>
      <c r="AC101" s="4">
        <v>0.06</v>
      </c>
      <c r="AD101" s="5">
        <v>0.93500000000000005</v>
      </c>
      <c r="AE101" s="16">
        <v>0</v>
      </c>
      <c r="AF101" s="4">
        <v>0</v>
      </c>
      <c r="AG101" s="4">
        <v>0.93500000000000005</v>
      </c>
      <c r="AH101" s="4">
        <v>3</v>
      </c>
      <c r="AI101" s="4">
        <v>3.0041600000000002</v>
      </c>
      <c r="AJ101" s="4">
        <v>-6.9999999999999999E-4</v>
      </c>
      <c r="AK101" s="4">
        <v>6.8000000000000005E-4</v>
      </c>
      <c r="AL101" s="4">
        <v>0</v>
      </c>
      <c r="AM101" s="4">
        <v>0</v>
      </c>
      <c r="AN101" s="4">
        <v>0.17399999999999999</v>
      </c>
      <c r="AO101" s="5">
        <f t="shared" si="21"/>
        <v>0.75199240986717264</v>
      </c>
      <c r="AP101" s="8">
        <f t="shared" si="22"/>
        <v>142</v>
      </c>
      <c r="AQ101" s="6">
        <f t="shared" si="16"/>
        <v>0.75935828877005351</v>
      </c>
      <c r="AR101" s="5">
        <f t="shared" si="23"/>
        <v>0.77893738140417457</v>
      </c>
      <c r="AS101" s="5">
        <f t="shared" si="24"/>
        <v>0.48086691500169315</v>
      </c>
      <c r="AT101" s="5">
        <f t="shared" si="27"/>
        <v>-2.131415954931528E-2</v>
      </c>
      <c r="AU101" s="5">
        <f t="shared" si="26"/>
        <v>0.13055682485801978</v>
      </c>
      <c r="AV101" s="4">
        <f t="shared" si="28"/>
        <v>0</v>
      </c>
      <c r="AW101" s="4">
        <f t="shared" si="29"/>
        <v>5</v>
      </c>
      <c r="AX101" s="4">
        <f t="shared" si="30"/>
        <v>0</v>
      </c>
      <c r="AY101" s="4">
        <f t="shared" si="31"/>
        <v>0</v>
      </c>
      <c r="AZ101" s="4">
        <f t="shared" si="25"/>
        <v>0</v>
      </c>
    </row>
    <row r="102" spans="1:52" x14ac:dyDescent="0.3">
      <c r="A102" s="4" t="s">
        <v>52</v>
      </c>
      <c r="B102" s="4" t="s">
        <v>56</v>
      </c>
      <c r="C102" s="4" t="s">
        <v>54</v>
      </c>
      <c r="D102" s="4" t="s">
        <v>57</v>
      </c>
      <c r="E102" s="4" t="s">
        <v>55</v>
      </c>
      <c r="F102" s="4">
        <v>2</v>
      </c>
      <c r="G102" s="4">
        <v>0.04</v>
      </c>
      <c r="H102" s="4" t="b">
        <v>0</v>
      </c>
      <c r="I102" s="4" t="b">
        <v>0</v>
      </c>
      <c r="J102" s="4" t="b">
        <v>0</v>
      </c>
      <c r="K102" s="4">
        <v>2.9529999999999998</v>
      </c>
      <c r="L102" s="4">
        <v>5.1999999999999998E-2</v>
      </c>
      <c r="M102" s="4">
        <v>-5.8000000000000003E-2</v>
      </c>
      <c r="N102" s="4">
        <v>0</v>
      </c>
      <c r="O102" s="4">
        <v>0</v>
      </c>
      <c r="P102" s="4">
        <v>5.0000000000000001E-3</v>
      </c>
      <c r="Q102" s="5">
        <v>1E-3</v>
      </c>
      <c r="R102" s="5">
        <v>0.18</v>
      </c>
      <c r="S102" s="9">
        <v>1437.915</v>
      </c>
      <c r="T102" s="4">
        <v>1838.375</v>
      </c>
      <c r="U102" s="4">
        <v>1.625</v>
      </c>
      <c r="V102" s="4">
        <v>2.1339999999999999</v>
      </c>
      <c r="W102" s="4">
        <v>1.3620000000000001</v>
      </c>
      <c r="X102" s="4">
        <v>3.44</v>
      </c>
      <c r="Y102" s="4">
        <v>8.5649999999999995</v>
      </c>
      <c r="Z102" s="8">
        <v>4005</v>
      </c>
      <c r="AA102" s="8">
        <v>5270</v>
      </c>
      <c r="AB102" s="4">
        <v>4150</v>
      </c>
      <c r="AC102" s="4">
        <v>0.06</v>
      </c>
      <c r="AD102" s="5">
        <v>0.93500000000000005</v>
      </c>
      <c r="AE102" s="16">
        <v>0.08</v>
      </c>
      <c r="AF102" s="4">
        <v>0</v>
      </c>
      <c r="AG102" s="4">
        <v>1</v>
      </c>
      <c r="AH102" s="4">
        <v>2.98</v>
      </c>
      <c r="AI102" s="4">
        <v>2.9898199999999999</v>
      </c>
      <c r="AJ102" s="4">
        <v>-1.01E-3</v>
      </c>
      <c r="AK102" s="4">
        <v>1.6000000000000001E-4</v>
      </c>
      <c r="AL102" s="4">
        <v>0</v>
      </c>
      <c r="AM102" s="4">
        <v>0</v>
      </c>
      <c r="AN102" s="4">
        <v>0.28699999999999998</v>
      </c>
      <c r="AO102" s="5">
        <f t="shared" si="21"/>
        <v>0.75996204933586342</v>
      </c>
      <c r="AP102" s="8">
        <f t="shared" si="22"/>
        <v>145</v>
      </c>
      <c r="AQ102" s="6">
        <f t="shared" si="16"/>
        <v>0.77540106951871657</v>
      </c>
      <c r="AR102" s="5">
        <f t="shared" si="23"/>
        <v>0.78747628083491461</v>
      </c>
      <c r="AS102" s="5">
        <f t="shared" si="24"/>
        <v>0.49102607517778529</v>
      </c>
      <c r="AT102" s="5">
        <f t="shared" si="27"/>
        <v>5.703907488151215E-2</v>
      </c>
      <c r="AU102" s="5">
        <f t="shared" si="26"/>
        <v>0.21054109060284898</v>
      </c>
      <c r="AV102" s="4">
        <f t="shared" si="28"/>
        <v>0</v>
      </c>
      <c r="AW102" s="4">
        <f t="shared" si="29"/>
        <v>5</v>
      </c>
      <c r="AX102" s="4">
        <f t="shared" si="30"/>
        <v>0</v>
      </c>
      <c r="AY102" s="4">
        <f t="shared" si="31"/>
        <v>0</v>
      </c>
      <c r="AZ102" s="4">
        <f t="shared" si="25"/>
        <v>0</v>
      </c>
    </row>
    <row r="103" spans="1:52" x14ac:dyDescent="0.3">
      <c r="A103" s="4" t="s">
        <v>52</v>
      </c>
      <c r="B103" s="4" t="s">
        <v>56</v>
      </c>
      <c r="C103" s="4" t="s">
        <v>54</v>
      </c>
      <c r="D103" s="4" t="s">
        <v>56</v>
      </c>
      <c r="E103" s="4" t="s">
        <v>55</v>
      </c>
      <c r="F103" s="4">
        <v>2</v>
      </c>
      <c r="G103" s="4">
        <v>0.04</v>
      </c>
      <c r="H103" s="4" t="b">
        <v>0</v>
      </c>
      <c r="I103" s="4" t="b">
        <v>0</v>
      </c>
      <c r="J103" s="4" t="b">
        <v>0</v>
      </c>
      <c r="K103" s="4">
        <v>2.9529999999999998</v>
      </c>
      <c r="L103" s="4">
        <v>5.1999999999999998E-2</v>
      </c>
      <c r="M103" s="4">
        <v>-5.8000000000000003E-2</v>
      </c>
      <c r="N103" s="4">
        <v>-4073.0239999999999</v>
      </c>
      <c r="O103" s="4">
        <v>-0.311</v>
      </c>
      <c r="P103" s="4">
        <v>5.0000000000000001E-3</v>
      </c>
      <c r="Q103" s="5">
        <v>1E-3</v>
      </c>
      <c r="R103" s="5">
        <v>0.18</v>
      </c>
      <c r="S103" s="9">
        <v>1451.499</v>
      </c>
      <c r="T103" s="4">
        <v>1838.375</v>
      </c>
      <c r="U103" s="4">
        <v>1.556</v>
      </c>
      <c r="V103" s="4">
        <v>2.2440000000000002</v>
      </c>
      <c r="W103" s="4">
        <v>1.5189999999999999</v>
      </c>
      <c r="X103" s="4">
        <v>3.7549999999999999</v>
      </c>
      <c r="Y103" s="4">
        <v>9.0779999999999994</v>
      </c>
      <c r="Z103" s="8">
        <v>4045</v>
      </c>
      <c r="AA103" s="8">
        <v>5270</v>
      </c>
      <c r="AB103" s="4">
        <v>4188</v>
      </c>
      <c r="AC103" s="4">
        <v>0.06</v>
      </c>
      <c r="AD103" s="5">
        <v>0.91500000000000004</v>
      </c>
      <c r="AE103" s="16">
        <v>0</v>
      </c>
      <c r="AF103" s="4">
        <v>0</v>
      </c>
      <c r="AG103" s="4">
        <v>0.91500000000000004</v>
      </c>
      <c r="AH103" s="4">
        <v>2.98</v>
      </c>
      <c r="AI103" s="4">
        <v>2.9742999999999999</v>
      </c>
      <c r="AJ103" s="4">
        <v>-1.14E-3</v>
      </c>
      <c r="AK103" s="4">
        <v>-1.4999999999999999E-4</v>
      </c>
      <c r="AL103" s="4">
        <v>0</v>
      </c>
      <c r="AM103" s="4">
        <v>0</v>
      </c>
      <c r="AN103" s="4">
        <v>0.36799999999999999</v>
      </c>
      <c r="AO103" s="5">
        <f t="shared" si="21"/>
        <v>0.76755218216318788</v>
      </c>
      <c r="AP103" s="8">
        <f t="shared" si="22"/>
        <v>143</v>
      </c>
      <c r="AQ103" s="6">
        <f t="shared" si="16"/>
        <v>0.76470588235294112</v>
      </c>
      <c r="AR103" s="5">
        <f t="shared" si="23"/>
        <v>0.79468690702087286</v>
      </c>
      <c r="AS103" s="5">
        <f t="shared" si="24"/>
        <v>0.48425330172705722</v>
      </c>
      <c r="AT103" s="5">
        <f t="shared" si="27"/>
        <v>-2.5004308330666674E-2</v>
      </c>
      <c r="AU103" s="5">
        <f t="shared" si="26"/>
        <v>-0.147232037691401</v>
      </c>
      <c r="AV103" s="4">
        <f t="shared" si="28"/>
        <v>0</v>
      </c>
      <c r="AW103" s="4">
        <f t="shared" si="29"/>
        <v>5</v>
      </c>
      <c r="AX103" s="4">
        <f t="shared" si="30"/>
        <v>0</v>
      </c>
      <c r="AY103" s="4">
        <f t="shared" si="31"/>
        <v>0</v>
      </c>
      <c r="AZ103" s="4">
        <f t="shared" si="25"/>
        <v>0</v>
      </c>
    </row>
    <row r="104" spans="1:52" x14ac:dyDescent="0.3">
      <c r="A104" s="4" t="s">
        <v>52</v>
      </c>
      <c r="B104" s="4" t="s">
        <v>56</v>
      </c>
      <c r="C104" s="4" t="s">
        <v>54</v>
      </c>
      <c r="D104" s="4" t="s">
        <v>56</v>
      </c>
      <c r="E104" s="4" t="s">
        <v>55</v>
      </c>
      <c r="F104" s="4">
        <v>2</v>
      </c>
      <c r="G104" s="4">
        <v>0.04</v>
      </c>
      <c r="H104" s="4" t="b">
        <v>0</v>
      </c>
      <c r="I104" s="4" t="b">
        <v>0</v>
      </c>
      <c r="J104" s="4" t="b">
        <v>0</v>
      </c>
      <c r="K104" s="4">
        <v>2.9529999999999998</v>
      </c>
      <c r="L104" s="4">
        <v>5.1999999999999998E-2</v>
      </c>
      <c r="M104" s="4">
        <v>-5.8000000000000003E-2</v>
      </c>
      <c r="N104" s="4">
        <v>8633.9539999999997</v>
      </c>
      <c r="O104" s="4">
        <v>0.14199999999999999</v>
      </c>
      <c r="P104" s="4">
        <v>5.0000000000000001E-3</v>
      </c>
      <c r="Q104" s="5">
        <v>1E-3</v>
      </c>
      <c r="R104" s="5">
        <v>0.18</v>
      </c>
      <c r="S104" s="9">
        <v>1464.6010000000001</v>
      </c>
      <c r="T104" s="4">
        <v>1838.375</v>
      </c>
      <c r="U104" s="4">
        <v>1.6060000000000001</v>
      </c>
      <c r="V104" s="4">
        <v>2.09</v>
      </c>
      <c r="W104" s="4">
        <v>1.5109999999999999</v>
      </c>
      <c r="X104" s="4">
        <v>3.8090000000000002</v>
      </c>
      <c r="Y104" s="4">
        <v>9.02</v>
      </c>
      <c r="Z104" s="8">
        <v>4084</v>
      </c>
      <c r="AA104" s="8">
        <v>5270</v>
      </c>
      <c r="AB104" s="4">
        <v>4230</v>
      </c>
      <c r="AC104" s="4">
        <v>0.06</v>
      </c>
      <c r="AD104" s="5">
        <v>0.92500000000000004</v>
      </c>
      <c r="AE104" s="16">
        <v>0</v>
      </c>
      <c r="AF104" s="4">
        <v>0</v>
      </c>
      <c r="AG104" s="4">
        <v>0.92500000000000004</v>
      </c>
      <c r="AH104" s="4">
        <v>2.98</v>
      </c>
      <c r="AI104" s="4">
        <v>2.9684200000000001</v>
      </c>
      <c r="AJ104" s="4">
        <v>-4.4999999999999999E-4</v>
      </c>
      <c r="AK104" s="4">
        <v>-4.4999999999999999E-4</v>
      </c>
      <c r="AL104" s="4">
        <v>0</v>
      </c>
      <c r="AM104" s="4">
        <v>0</v>
      </c>
      <c r="AN104" s="4">
        <v>0.23599999999999999</v>
      </c>
      <c r="AO104" s="5">
        <f t="shared" si="21"/>
        <v>0.77495256166982918</v>
      </c>
      <c r="AP104" s="8">
        <f t="shared" si="22"/>
        <v>146</v>
      </c>
      <c r="AQ104" s="6">
        <f t="shared" si="16"/>
        <v>0.78074866310160429</v>
      </c>
      <c r="AR104" s="5">
        <f t="shared" si="23"/>
        <v>0.80265654648956353</v>
      </c>
      <c r="AS104" s="5">
        <f t="shared" si="24"/>
        <v>0.4944124619031493</v>
      </c>
      <c r="AT104" s="5">
        <f t="shared" si="27"/>
        <v>3.5108669008294506E-2</v>
      </c>
      <c r="AU104" s="5">
        <f t="shared" si="26"/>
        <v>0.22897267592733778</v>
      </c>
      <c r="AV104" s="4">
        <f t="shared" si="28"/>
        <v>0</v>
      </c>
      <c r="AW104" s="4">
        <f t="shared" si="29"/>
        <v>5</v>
      </c>
      <c r="AX104" s="4">
        <f t="shared" si="30"/>
        <v>0</v>
      </c>
      <c r="AY104" s="4">
        <f t="shared" si="31"/>
        <v>0</v>
      </c>
      <c r="AZ104" s="4">
        <f t="shared" si="25"/>
        <v>0</v>
      </c>
    </row>
    <row r="105" spans="1:52" x14ac:dyDescent="0.3">
      <c r="A105" s="4" t="s">
        <v>52</v>
      </c>
      <c r="B105" s="4" t="s">
        <v>56</v>
      </c>
      <c r="C105" s="4" t="s">
        <v>54</v>
      </c>
      <c r="D105" s="4" t="s">
        <v>56</v>
      </c>
      <c r="E105" s="4" t="s">
        <v>55</v>
      </c>
      <c r="F105" s="4">
        <v>2</v>
      </c>
      <c r="G105" s="4">
        <v>0.04</v>
      </c>
      <c r="H105" s="4" t="b">
        <v>0</v>
      </c>
      <c r="I105" s="4" t="b">
        <v>0</v>
      </c>
      <c r="J105" s="4" t="b">
        <v>0</v>
      </c>
      <c r="K105" s="4">
        <v>2.9529999999999998</v>
      </c>
      <c r="L105" s="4">
        <v>5.1999999999999998E-2</v>
      </c>
      <c r="M105" s="4">
        <v>-5.8000000000000003E-2</v>
      </c>
      <c r="N105" s="4">
        <v>-15486.691000000001</v>
      </c>
      <c r="O105" s="4">
        <v>-7.6999999999999999E-2</v>
      </c>
      <c r="P105" s="4">
        <v>5.0000000000000001E-3</v>
      </c>
      <c r="Q105" s="5">
        <v>1E-3</v>
      </c>
      <c r="R105" s="5">
        <v>0.18</v>
      </c>
      <c r="S105" s="9">
        <v>1480.941</v>
      </c>
      <c r="T105" s="4">
        <v>1838.375</v>
      </c>
      <c r="U105" s="4">
        <v>1.9710000000000001</v>
      </c>
      <c r="V105" s="4">
        <v>2.3199999999999998</v>
      </c>
      <c r="W105" s="4">
        <v>1.6220000000000001</v>
      </c>
      <c r="X105" s="4">
        <v>3.992</v>
      </c>
      <c r="Y105" s="4">
        <v>9.9120000000000008</v>
      </c>
      <c r="Z105" s="8">
        <v>4133</v>
      </c>
      <c r="AA105" s="8">
        <v>5270</v>
      </c>
      <c r="AB105" s="4">
        <v>4268</v>
      </c>
      <c r="AC105" s="4">
        <v>0.06</v>
      </c>
      <c r="AD105" s="5">
        <v>0.92</v>
      </c>
      <c r="AE105" s="16">
        <v>0</v>
      </c>
      <c r="AF105" s="4">
        <v>0</v>
      </c>
      <c r="AG105" s="4">
        <v>0.92</v>
      </c>
      <c r="AH105" s="4">
        <v>2.96</v>
      </c>
      <c r="AI105" s="4">
        <v>2.9616600000000002</v>
      </c>
      <c r="AJ105" s="4">
        <v>-4.0999999999999999E-4</v>
      </c>
      <c r="AK105" s="4">
        <v>-7.2999999999999996E-4</v>
      </c>
      <c r="AL105" s="4">
        <v>0</v>
      </c>
      <c r="AM105" s="4">
        <v>0</v>
      </c>
      <c r="AN105" s="4">
        <v>0.16400000000000001</v>
      </c>
      <c r="AO105" s="5">
        <f t="shared" si="21"/>
        <v>0.78425047438330175</v>
      </c>
      <c r="AP105" s="8">
        <f t="shared" si="22"/>
        <v>135</v>
      </c>
      <c r="AQ105" s="6">
        <f t="shared" si="16"/>
        <v>0.72192513368983957</v>
      </c>
      <c r="AR105" s="5">
        <f t="shared" si="23"/>
        <v>0.80986717267552177</v>
      </c>
      <c r="AS105" s="5">
        <f t="shared" si="24"/>
        <v>0.45716220792414491</v>
      </c>
      <c r="AT105" s="5">
        <f t="shared" si="27"/>
        <v>-5.0071212149256451E-2</v>
      </c>
      <c r="AU105" s="5">
        <f t="shared" si="26"/>
        <v>-0.67319461444308781</v>
      </c>
      <c r="AV105" s="4">
        <f t="shared" si="28"/>
        <v>0</v>
      </c>
      <c r="AW105" s="4">
        <f t="shared" si="29"/>
        <v>5</v>
      </c>
      <c r="AX105" s="4">
        <f t="shared" si="30"/>
        <v>0</v>
      </c>
      <c r="AY105" s="4">
        <f t="shared" si="31"/>
        <v>0</v>
      </c>
      <c r="AZ105" s="4">
        <f t="shared" si="25"/>
        <v>0</v>
      </c>
    </row>
    <row r="106" spans="1:52" x14ac:dyDescent="0.3">
      <c r="A106" s="4" t="s">
        <v>52</v>
      </c>
      <c r="B106" s="4" t="s">
        <v>56</v>
      </c>
      <c r="C106" s="4" t="s">
        <v>54</v>
      </c>
      <c r="D106" s="4" t="s">
        <v>56</v>
      </c>
      <c r="E106" s="4" t="s">
        <v>55</v>
      </c>
      <c r="F106" s="4">
        <v>2</v>
      </c>
      <c r="G106" s="4">
        <v>0.04</v>
      </c>
      <c r="H106" s="4" t="b">
        <v>0</v>
      </c>
      <c r="I106" s="4" t="b">
        <v>0</v>
      </c>
      <c r="J106" s="4" t="b">
        <v>0</v>
      </c>
      <c r="K106" s="4">
        <v>2.9529999999999998</v>
      </c>
      <c r="L106" s="4">
        <v>5.1999999999999998E-2</v>
      </c>
      <c r="M106" s="4">
        <v>-5.8000000000000003E-2</v>
      </c>
      <c r="N106" s="4">
        <v>9800.1830000000009</v>
      </c>
      <c r="O106" s="4">
        <v>0.11600000000000001</v>
      </c>
      <c r="P106" s="4">
        <v>5.0000000000000001E-3</v>
      </c>
      <c r="Q106" s="5">
        <v>1E-3</v>
      </c>
      <c r="R106" s="5">
        <v>0.18</v>
      </c>
      <c r="S106" s="9">
        <v>1495.8979999999999</v>
      </c>
      <c r="T106" s="4">
        <v>1838.375</v>
      </c>
      <c r="U106" s="4">
        <v>1.649</v>
      </c>
      <c r="V106" s="4">
        <v>2.27</v>
      </c>
      <c r="W106" s="4">
        <v>1.605</v>
      </c>
      <c r="X106" s="4">
        <v>3.7530000000000001</v>
      </c>
      <c r="Y106" s="4">
        <v>9.2810000000000006</v>
      </c>
      <c r="Z106" s="8">
        <v>4176</v>
      </c>
      <c r="AA106" s="8">
        <v>5270</v>
      </c>
      <c r="AB106" s="4">
        <v>4319</v>
      </c>
      <c r="AC106" s="4">
        <v>0.06</v>
      </c>
      <c r="AD106" s="5">
        <v>0.93</v>
      </c>
      <c r="AE106" s="16">
        <v>0</v>
      </c>
      <c r="AF106" s="4">
        <v>0</v>
      </c>
      <c r="AG106" s="4">
        <v>0.93</v>
      </c>
      <c r="AH106" s="4">
        <v>2.94</v>
      </c>
      <c r="AI106" s="4">
        <v>2.9488500000000002</v>
      </c>
      <c r="AJ106" s="4">
        <v>-8.5999999999999998E-4</v>
      </c>
      <c r="AK106" s="4">
        <v>-7.6999999999999996E-4</v>
      </c>
      <c r="AL106" s="4">
        <v>0</v>
      </c>
      <c r="AM106" s="4">
        <v>0</v>
      </c>
      <c r="AN106" s="4">
        <v>0.17399999999999999</v>
      </c>
      <c r="AO106" s="5">
        <f t="shared" si="21"/>
        <v>0.79240986717267548</v>
      </c>
      <c r="AP106" s="8">
        <f t="shared" si="22"/>
        <v>143</v>
      </c>
      <c r="AQ106" s="6">
        <f t="shared" si="16"/>
        <v>0.76470588235294112</v>
      </c>
      <c r="AR106" s="5">
        <f t="shared" si="23"/>
        <v>0.81954459203036056</v>
      </c>
      <c r="AS106" s="5">
        <f t="shared" si="24"/>
        <v>0.48425330172705722</v>
      </c>
      <c r="AT106" s="5">
        <f t="shared" si="27"/>
        <v>3.079074640658579E-2</v>
      </c>
      <c r="AU106" s="5">
        <f t="shared" si="26"/>
        <v>0.53486661763723098</v>
      </c>
      <c r="AV106" s="4">
        <f t="shared" si="28"/>
        <v>0</v>
      </c>
      <c r="AW106" s="4">
        <f t="shared" si="29"/>
        <v>5</v>
      </c>
      <c r="AX106" s="4">
        <f t="shared" si="30"/>
        <v>0</v>
      </c>
      <c r="AY106" s="4">
        <f t="shared" si="31"/>
        <v>0</v>
      </c>
      <c r="AZ106" s="4">
        <f t="shared" si="25"/>
        <v>0</v>
      </c>
    </row>
    <row r="107" spans="1:52" x14ac:dyDescent="0.3">
      <c r="A107" s="4" t="s">
        <v>52</v>
      </c>
      <c r="B107" s="4" t="s">
        <v>56</v>
      </c>
      <c r="C107" s="4" t="s">
        <v>54</v>
      </c>
      <c r="D107" s="4" t="s">
        <v>56</v>
      </c>
      <c r="E107" s="4" t="s">
        <v>55</v>
      </c>
      <c r="F107" s="4">
        <v>2</v>
      </c>
      <c r="G107" s="4">
        <v>0.04</v>
      </c>
      <c r="H107" s="4" t="b">
        <v>0</v>
      </c>
      <c r="I107" s="4" t="b">
        <v>0</v>
      </c>
      <c r="J107" s="4" t="b">
        <v>0</v>
      </c>
      <c r="K107" s="4">
        <v>2.9529999999999998</v>
      </c>
      <c r="L107" s="4">
        <v>5.1999999999999998E-2</v>
      </c>
      <c r="M107" s="4">
        <v>-5.8000000000000003E-2</v>
      </c>
      <c r="N107" s="4">
        <v>-15657.421</v>
      </c>
      <c r="O107" s="4">
        <v>-7.0000000000000007E-2</v>
      </c>
      <c r="P107" s="4">
        <v>5.0000000000000001E-3</v>
      </c>
      <c r="Q107" s="5">
        <v>1E-3</v>
      </c>
      <c r="R107" s="5">
        <v>0.18</v>
      </c>
      <c r="S107" s="9">
        <v>1509.8510000000001</v>
      </c>
      <c r="T107" s="4">
        <v>1838.375</v>
      </c>
      <c r="U107" s="4">
        <v>1.704</v>
      </c>
      <c r="V107" s="4">
        <v>2.46</v>
      </c>
      <c r="W107" s="4">
        <v>3.3610000000000002</v>
      </c>
      <c r="X107" s="4">
        <v>3.7570000000000001</v>
      </c>
      <c r="Y107" s="4">
        <v>11.286</v>
      </c>
      <c r="Z107" s="8">
        <v>4217</v>
      </c>
      <c r="AA107" s="8">
        <v>5270</v>
      </c>
      <c r="AB107" s="4">
        <v>4361</v>
      </c>
      <c r="AC107" s="4">
        <v>0.06</v>
      </c>
      <c r="AD107" s="5">
        <v>0.92500000000000004</v>
      </c>
      <c r="AE107" s="16">
        <v>0</v>
      </c>
      <c r="AF107" s="4">
        <v>0</v>
      </c>
      <c r="AG107" s="4">
        <v>0.92500000000000004</v>
      </c>
      <c r="AH107" s="4">
        <v>2.94</v>
      </c>
      <c r="AI107" s="4">
        <v>2.9470800000000001</v>
      </c>
      <c r="AJ107" s="4">
        <v>-1.2999999999999999E-4</v>
      </c>
      <c r="AK107" s="4">
        <v>-5.9000000000000003E-4</v>
      </c>
      <c r="AL107" s="4">
        <v>0</v>
      </c>
      <c r="AM107" s="4">
        <v>0</v>
      </c>
      <c r="AN107" s="4">
        <v>0.19600000000000001</v>
      </c>
      <c r="AO107" s="5">
        <f t="shared" si="21"/>
        <v>0.80018975332068309</v>
      </c>
      <c r="AP107" s="8">
        <f t="shared" si="22"/>
        <v>144</v>
      </c>
      <c r="AQ107" s="6">
        <f t="shared" si="16"/>
        <v>0.77005347593582885</v>
      </c>
      <c r="AR107" s="5">
        <f t="shared" si="23"/>
        <v>0.82751423149905123</v>
      </c>
      <c r="AS107" s="5">
        <f t="shared" si="24"/>
        <v>0.48763968845242123</v>
      </c>
      <c r="AT107" s="5">
        <f t="shared" si="27"/>
        <v>3.0163633035747346E-3</v>
      </c>
      <c r="AU107" s="5">
        <f t="shared" si="26"/>
        <v>7.1669175087793704E-2</v>
      </c>
      <c r="AV107" s="4">
        <f t="shared" si="28"/>
        <v>0</v>
      </c>
      <c r="AW107" s="4">
        <f t="shared" si="29"/>
        <v>5</v>
      </c>
      <c r="AX107" s="4">
        <f t="shared" si="30"/>
        <v>0</v>
      </c>
      <c r="AY107" s="4">
        <f t="shared" si="31"/>
        <v>0</v>
      </c>
      <c r="AZ107" s="4">
        <f t="shared" si="25"/>
        <v>0</v>
      </c>
    </row>
    <row r="108" spans="1:52" x14ac:dyDescent="0.3">
      <c r="A108" s="4" t="s">
        <v>52</v>
      </c>
      <c r="B108" s="4" t="s">
        <v>56</v>
      </c>
      <c r="C108" s="4" t="s">
        <v>54</v>
      </c>
      <c r="D108" s="4" t="s">
        <v>56</v>
      </c>
      <c r="E108" s="4" t="s">
        <v>55</v>
      </c>
      <c r="F108" s="4">
        <v>2</v>
      </c>
      <c r="G108" s="4">
        <v>0.04</v>
      </c>
      <c r="H108" s="4" t="b">
        <v>0</v>
      </c>
      <c r="I108" s="4" t="b">
        <v>0</v>
      </c>
      <c r="J108" s="4" t="b">
        <v>0</v>
      </c>
      <c r="K108" s="4">
        <v>2.9529999999999998</v>
      </c>
      <c r="L108" s="4">
        <v>5.1999999999999998E-2</v>
      </c>
      <c r="M108" s="4">
        <v>-5.8000000000000003E-2</v>
      </c>
      <c r="N108" s="4">
        <v>2800.7240000000002</v>
      </c>
      <c r="O108" s="4">
        <v>0.376</v>
      </c>
      <c r="P108" s="4">
        <v>5.0000000000000001E-3</v>
      </c>
      <c r="Q108" s="5">
        <v>1E-3</v>
      </c>
      <c r="R108" s="5">
        <v>0.18</v>
      </c>
      <c r="S108" s="9">
        <v>1525.876</v>
      </c>
      <c r="T108" s="4">
        <v>1838.375</v>
      </c>
      <c r="U108" s="4">
        <v>1.6639999999999999</v>
      </c>
      <c r="V108" s="4">
        <v>2.2970000000000002</v>
      </c>
      <c r="W108" s="4">
        <v>1.593</v>
      </c>
      <c r="X108" s="4">
        <v>3.8239999999999998</v>
      </c>
      <c r="Y108" s="4">
        <v>9.3800000000000008</v>
      </c>
      <c r="Z108" s="8">
        <v>4263</v>
      </c>
      <c r="AA108" s="8">
        <v>5270</v>
      </c>
      <c r="AB108" s="4">
        <v>4408</v>
      </c>
      <c r="AC108" s="4">
        <v>0.06</v>
      </c>
      <c r="AD108" s="5">
        <v>0.95499999999999996</v>
      </c>
      <c r="AE108" s="16">
        <v>0</v>
      </c>
      <c r="AF108" s="4">
        <v>0</v>
      </c>
      <c r="AG108" s="4">
        <v>0.95499999999999996</v>
      </c>
      <c r="AH108" s="4">
        <v>2.9</v>
      </c>
      <c r="AI108" s="4">
        <v>2.93099</v>
      </c>
      <c r="AJ108" s="4">
        <v>-1E-3</v>
      </c>
      <c r="AK108" s="4">
        <v>-5.8E-4</v>
      </c>
      <c r="AL108" s="4">
        <v>0</v>
      </c>
      <c r="AM108" s="4">
        <v>0</v>
      </c>
      <c r="AN108" s="4">
        <v>0.20699999999999999</v>
      </c>
      <c r="AO108" s="5">
        <f t="shared" si="21"/>
        <v>0.8089184060721063</v>
      </c>
      <c r="AP108" s="8">
        <f t="shared" si="22"/>
        <v>145</v>
      </c>
      <c r="AQ108" s="6">
        <f t="shared" si="16"/>
        <v>0.77540106951871657</v>
      </c>
      <c r="AR108" s="5">
        <f t="shared" si="23"/>
        <v>0.83643263757115749</v>
      </c>
      <c r="AS108" s="5">
        <f t="shared" si="24"/>
        <v>0.49102607517778529</v>
      </c>
      <c r="AT108" s="5">
        <f t="shared" si="27"/>
        <v>4.4943270061823831E-2</v>
      </c>
      <c r="AU108" s="5">
        <f t="shared" si="26"/>
        <v>6.2402496099844523E-2</v>
      </c>
      <c r="AV108" s="4">
        <f t="shared" si="28"/>
        <v>0</v>
      </c>
      <c r="AW108" s="4">
        <f t="shared" si="29"/>
        <v>5</v>
      </c>
      <c r="AX108" s="4">
        <f t="shared" si="30"/>
        <v>0</v>
      </c>
      <c r="AY108" s="4">
        <f t="shared" si="31"/>
        <v>0</v>
      </c>
      <c r="AZ108" s="4">
        <f t="shared" si="25"/>
        <v>0</v>
      </c>
    </row>
    <row r="109" spans="1:52" x14ac:dyDescent="0.3">
      <c r="A109" s="4" t="s">
        <v>52</v>
      </c>
      <c r="B109" s="4" t="s">
        <v>56</v>
      </c>
      <c r="C109" s="4" t="s">
        <v>54</v>
      </c>
      <c r="D109" s="4" t="s">
        <v>56</v>
      </c>
      <c r="E109" s="4" t="s">
        <v>55</v>
      </c>
      <c r="F109" s="4">
        <v>2</v>
      </c>
      <c r="G109" s="4">
        <v>0.04</v>
      </c>
      <c r="H109" s="4" t="b">
        <v>0</v>
      </c>
      <c r="I109" s="4" t="b">
        <v>0</v>
      </c>
      <c r="J109" s="4" t="b">
        <v>0</v>
      </c>
      <c r="K109" s="4">
        <v>2.9529999999999998</v>
      </c>
      <c r="L109" s="4">
        <v>5.1999999999999998E-2</v>
      </c>
      <c r="M109" s="4">
        <v>-5.8000000000000003E-2</v>
      </c>
      <c r="N109" s="4">
        <v>-3554.3119999999999</v>
      </c>
      <c r="O109" s="4">
        <v>-0.28299999999999997</v>
      </c>
      <c r="P109" s="4">
        <v>5.0000000000000001E-3</v>
      </c>
      <c r="Q109" s="5">
        <v>1E-3</v>
      </c>
      <c r="R109" s="5">
        <v>0.18</v>
      </c>
      <c r="S109" s="9">
        <v>1540.104</v>
      </c>
      <c r="T109" s="4">
        <v>1838.375</v>
      </c>
      <c r="U109" s="4">
        <v>1.704</v>
      </c>
      <c r="V109" s="4">
        <v>2.3410000000000002</v>
      </c>
      <c r="W109" s="4">
        <v>1.45</v>
      </c>
      <c r="X109" s="4">
        <v>4.3520000000000003</v>
      </c>
      <c r="Y109" s="4">
        <v>9.8490000000000002</v>
      </c>
      <c r="Z109" s="8">
        <v>4304</v>
      </c>
      <c r="AA109" s="8">
        <v>5270</v>
      </c>
      <c r="AB109" s="4">
        <v>4450</v>
      </c>
      <c r="AC109" s="4">
        <v>0.06</v>
      </c>
      <c r="AD109" s="5">
        <v>0.93500000000000005</v>
      </c>
      <c r="AE109" s="16">
        <v>0</v>
      </c>
      <c r="AF109" s="4">
        <v>0</v>
      </c>
      <c r="AG109" s="4">
        <v>0.93500000000000005</v>
      </c>
      <c r="AH109" s="4">
        <v>2.88</v>
      </c>
      <c r="AI109" s="4">
        <v>2.9137599999999999</v>
      </c>
      <c r="AJ109" s="4">
        <v>-1.2099999999999999E-3</v>
      </c>
      <c r="AK109" s="4">
        <v>-7.2000000000000005E-4</v>
      </c>
      <c r="AL109" s="4">
        <v>0</v>
      </c>
      <c r="AM109" s="4">
        <v>0</v>
      </c>
      <c r="AN109" s="4">
        <v>0.28699999999999998</v>
      </c>
      <c r="AO109" s="5">
        <f t="shared" si="21"/>
        <v>0.81669829222011381</v>
      </c>
      <c r="AP109" s="8">
        <f t="shared" si="22"/>
        <v>146</v>
      </c>
      <c r="AQ109" s="6">
        <f t="shared" si="16"/>
        <v>0.78074866310160429</v>
      </c>
      <c r="AR109" s="5">
        <f t="shared" si="23"/>
        <v>0.84440227703984816</v>
      </c>
      <c r="AS109" s="5">
        <f t="shared" si="24"/>
        <v>0.4944124619031493</v>
      </c>
      <c r="AT109" s="5">
        <f t="shared" si="27"/>
        <v>1.3205524305650562E-2</v>
      </c>
      <c r="AU109" s="5">
        <f t="shared" si="26"/>
        <v>7.0283947146471418E-2</v>
      </c>
      <c r="AV109" s="4">
        <f t="shared" si="28"/>
        <v>0</v>
      </c>
      <c r="AW109" s="4">
        <f t="shared" si="29"/>
        <v>5</v>
      </c>
      <c r="AX109" s="4">
        <f t="shared" si="30"/>
        <v>0</v>
      </c>
      <c r="AY109" s="4">
        <f t="shared" si="31"/>
        <v>0</v>
      </c>
      <c r="AZ109" s="4">
        <f t="shared" si="25"/>
        <v>0</v>
      </c>
    </row>
    <row r="110" spans="1:52" x14ac:dyDescent="0.3">
      <c r="A110" s="4" t="s">
        <v>52</v>
      </c>
      <c r="B110" s="4" t="s">
        <v>56</v>
      </c>
      <c r="C110" s="4" t="s">
        <v>54</v>
      </c>
      <c r="D110" s="4" t="s">
        <v>56</v>
      </c>
      <c r="E110" s="4" t="s">
        <v>55</v>
      </c>
      <c r="F110" s="4">
        <v>2</v>
      </c>
      <c r="G110" s="4">
        <v>0.04</v>
      </c>
      <c r="H110" s="4" t="b">
        <v>0</v>
      </c>
      <c r="I110" s="4" t="b">
        <v>0</v>
      </c>
      <c r="J110" s="4" t="b">
        <v>0</v>
      </c>
      <c r="K110" s="4">
        <v>2.9529999999999998</v>
      </c>
      <c r="L110" s="4">
        <v>5.1999999999999998E-2</v>
      </c>
      <c r="M110" s="4">
        <v>-5.8000000000000003E-2</v>
      </c>
      <c r="N110" s="4">
        <v>4732.2730000000001</v>
      </c>
      <c r="O110" s="4">
        <v>0.20399999999999999</v>
      </c>
      <c r="P110" s="4">
        <v>5.0000000000000001E-3</v>
      </c>
      <c r="Q110" s="5">
        <v>1E-3</v>
      </c>
      <c r="R110" s="5">
        <v>0.18</v>
      </c>
      <c r="S110" s="9">
        <v>1555.2750000000001</v>
      </c>
      <c r="T110" s="4">
        <v>1838.375</v>
      </c>
      <c r="U110" s="4">
        <v>1.8160000000000001</v>
      </c>
      <c r="V110" s="4">
        <v>2.5110000000000001</v>
      </c>
      <c r="W110" s="4">
        <v>1.4450000000000001</v>
      </c>
      <c r="X110" s="4">
        <v>3.718</v>
      </c>
      <c r="Y110" s="4">
        <v>9.4909999999999997</v>
      </c>
      <c r="Z110" s="8">
        <v>4348</v>
      </c>
      <c r="AA110" s="8">
        <v>5270</v>
      </c>
      <c r="AB110" s="4">
        <v>4494</v>
      </c>
      <c r="AC110" s="4">
        <v>0.06</v>
      </c>
      <c r="AD110" s="5">
        <v>0.95</v>
      </c>
      <c r="AE110" s="16">
        <v>0</v>
      </c>
      <c r="AF110" s="4">
        <v>0</v>
      </c>
      <c r="AG110" s="4">
        <v>0.95</v>
      </c>
      <c r="AH110" s="4">
        <v>2.88</v>
      </c>
      <c r="AI110" s="4">
        <v>2.8923399999999999</v>
      </c>
      <c r="AJ110" s="4">
        <v>-1.41E-3</v>
      </c>
      <c r="AK110" s="4">
        <v>-9.3000000000000005E-4</v>
      </c>
      <c r="AL110" s="4">
        <v>0</v>
      </c>
      <c r="AM110" s="4">
        <v>0</v>
      </c>
      <c r="AN110" s="4">
        <v>0.30199999999999999</v>
      </c>
      <c r="AO110" s="5">
        <f t="shared" si="21"/>
        <v>0.8250474383301708</v>
      </c>
      <c r="AP110" s="8">
        <f t="shared" si="22"/>
        <v>146</v>
      </c>
      <c r="AQ110" s="6">
        <f t="shared" si="16"/>
        <v>0.78074866310160429</v>
      </c>
      <c r="AR110" s="5">
        <f t="shared" si="23"/>
        <v>0.85275142314990515</v>
      </c>
      <c r="AS110" s="5">
        <f t="shared" si="24"/>
        <v>0.4944124619031493</v>
      </c>
      <c r="AT110" s="5">
        <f t="shared" si="27"/>
        <v>0.14784444719426812</v>
      </c>
      <c r="AU110" s="5">
        <f t="shared" si="26"/>
        <v>0</v>
      </c>
      <c r="AV110" s="4">
        <f t="shared" si="28"/>
        <v>0</v>
      </c>
      <c r="AW110" s="4">
        <f t="shared" si="29"/>
        <v>5</v>
      </c>
      <c r="AX110" s="4">
        <f t="shared" si="30"/>
        <v>0</v>
      </c>
      <c r="AY110" s="4">
        <f t="shared" si="31"/>
        <v>0</v>
      </c>
      <c r="AZ110" s="4">
        <f t="shared" si="25"/>
        <v>0</v>
      </c>
    </row>
    <row r="111" spans="1:52" x14ac:dyDescent="0.3">
      <c r="A111" s="4" t="s">
        <v>52</v>
      </c>
      <c r="B111" s="4" t="s">
        <v>56</v>
      </c>
      <c r="C111" s="4" t="s">
        <v>54</v>
      </c>
      <c r="D111" s="4" t="s">
        <v>56</v>
      </c>
      <c r="E111" s="4" t="s">
        <v>55</v>
      </c>
      <c r="F111" s="4">
        <v>2</v>
      </c>
      <c r="G111" s="4">
        <v>0.04</v>
      </c>
      <c r="H111" s="4" t="b">
        <v>0</v>
      </c>
      <c r="I111" s="4" t="b">
        <v>0</v>
      </c>
      <c r="J111" s="4" t="b">
        <v>0</v>
      </c>
      <c r="K111" s="4">
        <v>2.9529999999999998</v>
      </c>
      <c r="L111" s="4">
        <v>5.1999999999999998E-2</v>
      </c>
      <c r="M111" s="4">
        <v>-5.8000000000000003E-2</v>
      </c>
      <c r="N111" s="4">
        <v>-13657.741</v>
      </c>
      <c r="O111" s="4">
        <v>-6.8000000000000005E-2</v>
      </c>
      <c r="P111" s="4">
        <v>5.0000000000000001E-3</v>
      </c>
      <c r="Q111" s="5">
        <v>1E-3</v>
      </c>
      <c r="R111" s="5">
        <v>0.18</v>
      </c>
      <c r="S111" s="9">
        <v>1569.329</v>
      </c>
      <c r="T111" s="4">
        <v>1838.375</v>
      </c>
      <c r="U111" s="4">
        <v>1.595</v>
      </c>
      <c r="V111" s="4">
        <v>2.4390000000000001</v>
      </c>
      <c r="W111" s="4">
        <v>1.603</v>
      </c>
      <c r="X111" s="4">
        <v>3.625</v>
      </c>
      <c r="Y111" s="4">
        <v>9.2650000000000006</v>
      </c>
      <c r="Z111" s="8">
        <v>4389</v>
      </c>
      <c r="AA111" s="8">
        <v>5270</v>
      </c>
      <c r="AB111" s="4">
        <v>4537</v>
      </c>
      <c r="AC111" s="4">
        <v>0.06</v>
      </c>
      <c r="AD111" s="5">
        <v>0.94499999999999995</v>
      </c>
      <c r="AE111" s="16">
        <v>0</v>
      </c>
      <c r="AF111" s="4">
        <v>0</v>
      </c>
      <c r="AG111" s="4">
        <v>0.94499999999999995</v>
      </c>
      <c r="AH111" s="4">
        <v>2.9</v>
      </c>
      <c r="AI111" s="4">
        <v>2.9006599999999998</v>
      </c>
      <c r="AJ111" s="4">
        <v>5.9000000000000003E-4</v>
      </c>
      <c r="AK111" s="4">
        <v>-6.6E-4</v>
      </c>
      <c r="AL111" s="4">
        <v>0</v>
      </c>
      <c r="AM111" s="4">
        <v>0</v>
      </c>
      <c r="AN111" s="4">
        <v>0.29099999999999998</v>
      </c>
      <c r="AO111" s="5">
        <f t="shared" si="21"/>
        <v>0.83282732447817842</v>
      </c>
      <c r="AP111" s="8">
        <f t="shared" si="22"/>
        <v>148</v>
      </c>
      <c r="AQ111" s="6">
        <f t="shared" si="16"/>
        <v>0.79144385026737973</v>
      </c>
      <c r="AR111" s="5">
        <f t="shared" si="23"/>
        <v>0.86091081593927898</v>
      </c>
      <c r="AS111" s="5">
        <f t="shared" si="24"/>
        <v>0.50118523535387738</v>
      </c>
      <c r="AT111" s="5">
        <f t="shared" si="27"/>
        <v>6.9332771596237325E-2</v>
      </c>
      <c r="AU111" s="5">
        <f t="shared" si="26"/>
        <v>0.14230823964707698</v>
      </c>
      <c r="AV111" s="4">
        <f t="shared" si="28"/>
        <v>0</v>
      </c>
      <c r="AW111" s="4">
        <f t="shared" si="29"/>
        <v>5</v>
      </c>
      <c r="AX111" s="4">
        <f t="shared" si="30"/>
        <v>0</v>
      </c>
      <c r="AY111" s="4">
        <f t="shared" si="31"/>
        <v>0</v>
      </c>
      <c r="AZ111" s="4">
        <f t="shared" si="25"/>
        <v>0</v>
      </c>
    </row>
    <row r="112" spans="1:52" x14ac:dyDescent="0.3">
      <c r="A112" s="4" t="s">
        <v>52</v>
      </c>
      <c r="B112" s="4" t="s">
        <v>56</v>
      </c>
      <c r="C112" s="4" t="s">
        <v>54</v>
      </c>
      <c r="D112" s="4" t="s">
        <v>57</v>
      </c>
      <c r="E112" s="4" t="s">
        <v>55</v>
      </c>
      <c r="F112" s="4">
        <v>2</v>
      </c>
      <c r="G112" s="4">
        <v>0.04</v>
      </c>
      <c r="H112" s="4" t="b">
        <v>0</v>
      </c>
      <c r="I112" s="4" t="b">
        <v>0</v>
      </c>
      <c r="J112" s="4" t="b">
        <v>0</v>
      </c>
      <c r="K112" s="4">
        <v>2.9529999999999998</v>
      </c>
      <c r="L112" s="4">
        <v>5.1999999999999998E-2</v>
      </c>
      <c r="M112" s="4">
        <v>-5.8000000000000003E-2</v>
      </c>
      <c r="N112" s="4">
        <v>0</v>
      </c>
      <c r="O112" s="4">
        <v>0</v>
      </c>
      <c r="P112" s="4">
        <v>5.0000000000000001E-3</v>
      </c>
      <c r="Q112" s="5">
        <v>1E-3</v>
      </c>
      <c r="R112" s="5">
        <v>0.18</v>
      </c>
      <c r="S112" s="9">
        <v>1583.432</v>
      </c>
      <c r="T112" s="4">
        <v>1838.375</v>
      </c>
      <c r="U112" s="4">
        <v>1.5680000000000001</v>
      </c>
      <c r="V112" s="4">
        <v>2.246</v>
      </c>
      <c r="W112" s="4">
        <v>1.446</v>
      </c>
      <c r="X112" s="4">
        <v>3.91</v>
      </c>
      <c r="Y112" s="4">
        <v>9.1720000000000006</v>
      </c>
      <c r="Z112" s="8">
        <v>4430</v>
      </c>
      <c r="AA112" s="8">
        <v>5270</v>
      </c>
      <c r="AB112" s="4">
        <v>4578</v>
      </c>
      <c r="AC112" s="4">
        <v>0.06</v>
      </c>
      <c r="AD112" s="5">
        <v>0.94499999999999995</v>
      </c>
      <c r="AE112" s="16">
        <v>0.08</v>
      </c>
      <c r="AF112" s="4">
        <v>0</v>
      </c>
      <c r="AG112" s="4">
        <v>1</v>
      </c>
      <c r="AH112" s="4">
        <v>2.88</v>
      </c>
      <c r="AI112" s="4">
        <v>2.8947500000000002</v>
      </c>
      <c r="AJ112" s="4">
        <v>-4.2000000000000002E-4</v>
      </c>
      <c r="AK112" s="4">
        <v>-7.1000000000000002E-4</v>
      </c>
      <c r="AL112" s="4">
        <v>0</v>
      </c>
      <c r="AM112" s="4">
        <v>0</v>
      </c>
      <c r="AN112" s="4">
        <v>0.28000000000000003</v>
      </c>
      <c r="AO112" s="5">
        <f t="shared" si="21"/>
        <v>0.84060721062618593</v>
      </c>
      <c r="AP112" s="8">
        <f t="shared" si="22"/>
        <v>148</v>
      </c>
      <c r="AQ112" s="6">
        <f t="shared" si="16"/>
        <v>0.79144385026737973</v>
      </c>
      <c r="AR112" s="5">
        <f t="shared" si="23"/>
        <v>0.86869070208728649</v>
      </c>
      <c r="AS112" s="5">
        <f t="shared" si="24"/>
        <v>0.50118523535387738</v>
      </c>
      <c r="AT112" s="5">
        <f t="shared" si="27"/>
        <v>5.4998936578678582E-2</v>
      </c>
      <c r="AU112" s="5">
        <f t="shared" si="26"/>
        <v>0</v>
      </c>
      <c r="AV112" s="4">
        <f t="shared" si="28"/>
        <v>0</v>
      </c>
      <c r="AW112" s="4">
        <f t="shared" si="29"/>
        <v>5</v>
      </c>
      <c r="AX112" s="4">
        <f t="shared" si="30"/>
        <v>0</v>
      </c>
      <c r="AY112" s="4">
        <f t="shared" si="31"/>
        <v>0</v>
      </c>
      <c r="AZ112" s="4">
        <f t="shared" si="25"/>
        <v>0</v>
      </c>
    </row>
    <row r="113" spans="1:52" x14ac:dyDescent="0.3">
      <c r="A113" s="4" t="s">
        <v>52</v>
      </c>
      <c r="B113" s="4" t="s">
        <v>56</v>
      </c>
      <c r="C113" s="4" t="s">
        <v>54</v>
      </c>
      <c r="D113" s="4" t="s">
        <v>56</v>
      </c>
      <c r="E113" s="4" t="s">
        <v>55</v>
      </c>
      <c r="F113" s="4">
        <v>2</v>
      </c>
      <c r="G113" s="4">
        <v>0.04</v>
      </c>
      <c r="H113" s="4" t="b">
        <v>0</v>
      </c>
      <c r="I113" s="4" t="b">
        <v>0</v>
      </c>
      <c r="J113" s="4" t="b">
        <v>0</v>
      </c>
      <c r="K113" s="4">
        <v>2.9529999999999998</v>
      </c>
      <c r="L113" s="4">
        <v>5.1999999999999998E-2</v>
      </c>
      <c r="M113" s="4">
        <v>-5.8000000000000003E-2</v>
      </c>
      <c r="N113" s="4">
        <v>11775.436</v>
      </c>
      <c r="O113" s="4">
        <v>7.0999999999999994E-2</v>
      </c>
      <c r="P113" s="4">
        <v>5.0000000000000001E-3</v>
      </c>
      <c r="Q113" s="5">
        <v>1E-3</v>
      </c>
      <c r="R113" s="5">
        <v>0.18</v>
      </c>
      <c r="S113" s="9">
        <v>1597.577</v>
      </c>
      <c r="T113" s="4">
        <v>1838.375</v>
      </c>
      <c r="U113" s="4">
        <v>1.5009999999999999</v>
      </c>
      <c r="V113" s="4">
        <v>2.3159999999999998</v>
      </c>
      <c r="W113" s="4">
        <v>1.609</v>
      </c>
      <c r="X113" s="4">
        <v>3.6640000000000001</v>
      </c>
      <c r="Y113" s="4">
        <v>9.0920000000000005</v>
      </c>
      <c r="Z113" s="8">
        <v>4472</v>
      </c>
      <c r="AA113" s="8">
        <v>5270</v>
      </c>
      <c r="AB113" s="4">
        <v>4620</v>
      </c>
      <c r="AC113" s="4">
        <v>0.06</v>
      </c>
      <c r="AD113" s="5">
        <v>0.95</v>
      </c>
      <c r="AE113" s="16">
        <v>0</v>
      </c>
      <c r="AF113" s="4">
        <v>0</v>
      </c>
      <c r="AG113" s="4">
        <v>0.95</v>
      </c>
      <c r="AH113" s="4">
        <v>2.94</v>
      </c>
      <c r="AI113" s="4">
        <v>2.9149099999999999</v>
      </c>
      <c r="AJ113" s="4">
        <v>1.42E-3</v>
      </c>
      <c r="AK113" s="4">
        <v>-2.2000000000000001E-4</v>
      </c>
      <c r="AL113" s="4">
        <v>0</v>
      </c>
      <c r="AM113" s="4">
        <v>0</v>
      </c>
      <c r="AN113" s="4">
        <v>0.36799999999999999</v>
      </c>
      <c r="AO113" s="5">
        <f t="shared" si="21"/>
        <v>0.84857685009487671</v>
      </c>
      <c r="AP113" s="8">
        <f t="shared" si="22"/>
        <v>148</v>
      </c>
      <c r="AQ113" s="6">
        <f t="shared" si="16"/>
        <v>0.79144385026737973</v>
      </c>
      <c r="AR113" s="5">
        <f t="shared" si="23"/>
        <v>0.87666034155597727</v>
      </c>
      <c r="AS113" s="5">
        <f t="shared" si="24"/>
        <v>0.50118523535387738</v>
      </c>
      <c r="AT113" s="5">
        <f t="shared" si="27"/>
        <v>4.2518437358709679E-2</v>
      </c>
      <c r="AU113" s="5">
        <f t="shared" si="26"/>
        <v>0</v>
      </c>
      <c r="AV113" s="4">
        <f t="shared" si="28"/>
        <v>0</v>
      </c>
      <c r="AW113" s="4">
        <f t="shared" si="29"/>
        <v>5</v>
      </c>
      <c r="AX113" s="4">
        <f t="shared" si="30"/>
        <v>0</v>
      </c>
      <c r="AY113" s="4">
        <f t="shared" si="31"/>
        <v>0</v>
      </c>
      <c r="AZ113" s="4">
        <f t="shared" si="25"/>
        <v>0</v>
      </c>
    </row>
    <row r="114" spans="1:52" x14ac:dyDescent="0.3">
      <c r="A114" s="4" t="s">
        <v>52</v>
      </c>
      <c r="B114" s="4" t="s">
        <v>56</v>
      </c>
      <c r="C114" s="4" t="s">
        <v>54</v>
      </c>
      <c r="D114" s="4" t="s">
        <v>56</v>
      </c>
      <c r="E114" s="4" t="s">
        <v>55</v>
      </c>
      <c r="F114" s="4">
        <v>2</v>
      </c>
      <c r="G114" s="4">
        <v>0.04</v>
      </c>
      <c r="H114" s="4" t="b">
        <v>0</v>
      </c>
      <c r="I114" s="4" t="b">
        <v>0</v>
      </c>
      <c r="J114" s="4" t="b">
        <v>0</v>
      </c>
      <c r="K114" s="4">
        <v>2.9529999999999998</v>
      </c>
      <c r="L114" s="4">
        <v>5.1999999999999998E-2</v>
      </c>
      <c r="M114" s="4">
        <v>-5.8000000000000003E-2</v>
      </c>
      <c r="N114" s="4">
        <v>-11253.464</v>
      </c>
      <c r="O114" s="4">
        <v>-7.0999999999999994E-2</v>
      </c>
      <c r="P114" s="4">
        <v>5.0000000000000001E-3</v>
      </c>
      <c r="Q114" s="5">
        <v>1E-3</v>
      </c>
      <c r="R114" s="5">
        <v>0.18</v>
      </c>
      <c r="S114" s="9">
        <v>1611.454</v>
      </c>
      <c r="T114" s="4">
        <v>1838.375</v>
      </c>
      <c r="U114" s="4">
        <v>1.7729999999999999</v>
      </c>
      <c r="V114" s="4">
        <v>2.3130000000000002</v>
      </c>
      <c r="W114" s="4">
        <v>1.472</v>
      </c>
      <c r="X114" s="4">
        <v>3.661</v>
      </c>
      <c r="Y114" s="4">
        <v>9.2219999999999995</v>
      </c>
      <c r="Z114" s="8">
        <v>4513</v>
      </c>
      <c r="AA114" s="8">
        <v>5270</v>
      </c>
      <c r="AB114" s="4">
        <v>4661</v>
      </c>
      <c r="AC114" s="4">
        <v>0.06</v>
      </c>
      <c r="AD114" s="5">
        <v>0.94499999999999995</v>
      </c>
      <c r="AE114" s="16">
        <v>0</v>
      </c>
      <c r="AF114" s="4">
        <v>0</v>
      </c>
      <c r="AG114" s="4">
        <v>0.94499999999999995</v>
      </c>
      <c r="AH114" s="4">
        <v>2.94</v>
      </c>
      <c r="AI114" s="4">
        <v>2.9292199999999999</v>
      </c>
      <c r="AJ114" s="4">
        <v>1.0300000000000001E-3</v>
      </c>
      <c r="AK114" s="4">
        <v>2.2000000000000001E-4</v>
      </c>
      <c r="AL114" s="4">
        <v>0</v>
      </c>
      <c r="AM114" s="4">
        <v>0</v>
      </c>
      <c r="AN114" s="4">
        <v>0.26900000000000002</v>
      </c>
      <c r="AO114" s="5">
        <f t="shared" si="21"/>
        <v>0.85635673624288422</v>
      </c>
      <c r="AP114" s="8">
        <f t="shared" si="22"/>
        <v>148</v>
      </c>
      <c r="AQ114" s="6">
        <f t="shared" si="16"/>
        <v>0.79144385026737973</v>
      </c>
      <c r="AR114" s="5">
        <f t="shared" si="23"/>
        <v>0.88444022770398478</v>
      </c>
      <c r="AS114" s="5">
        <f t="shared" si="24"/>
        <v>0.50118523535387738</v>
      </c>
      <c r="AT114" s="5">
        <f t="shared" si="27"/>
        <v>2.8461647929415395E-2</v>
      </c>
      <c r="AU114" s="5">
        <f t="shared" si="26"/>
        <v>0</v>
      </c>
      <c r="AV114" s="4">
        <f t="shared" si="28"/>
        <v>0</v>
      </c>
      <c r="AW114" s="4">
        <f t="shared" si="29"/>
        <v>5</v>
      </c>
      <c r="AX114" s="4">
        <f t="shared" si="30"/>
        <v>0</v>
      </c>
      <c r="AY114" s="4">
        <f t="shared" si="31"/>
        <v>0</v>
      </c>
      <c r="AZ114" s="4">
        <f t="shared" si="25"/>
        <v>0</v>
      </c>
    </row>
    <row r="115" spans="1:52" x14ac:dyDescent="0.3">
      <c r="A115" s="4" t="s">
        <v>52</v>
      </c>
      <c r="B115" s="4" t="s">
        <v>56</v>
      </c>
      <c r="C115" s="4" t="s">
        <v>54</v>
      </c>
      <c r="D115" s="4" t="s">
        <v>57</v>
      </c>
      <c r="E115" s="4" t="s">
        <v>55</v>
      </c>
      <c r="F115" s="4">
        <v>2</v>
      </c>
      <c r="G115" s="4">
        <v>0.04</v>
      </c>
      <c r="H115" s="4" t="b">
        <v>0</v>
      </c>
      <c r="I115" s="4" t="b">
        <v>0</v>
      </c>
      <c r="J115" s="4" t="b">
        <v>0</v>
      </c>
      <c r="K115" s="4">
        <v>2.9529999999999998</v>
      </c>
      <c r="L115" s="4">
        <v>5.1999999999999998E-2</v>
      </c>
      <c r="M115" s="4">
        <v>-5.8000000000000003E-2</v>
      </c>
      <c r="N115" s="4">
        <v>0</v>
      </c>
      <c r="O115" s="4">
        <v>0</v>
      </c>
      <c r="P115" s="4">
        <v>5.0000000000000001E-3</v>
      </c>
      <c r="Q115" s="5">
        <v>1E-3</v>
      </c>
      <c r="R115" s="5">
        <v>0.18</v>
      </c>
      <c r="S115" s="9">
        <v>1625.4639999999999</v>
      </c>
      <c r="T115" s="4">
        <v>1838.375</v>
      </c>
      <c r="U115" s="4">
        <v>1.627</v>
      </c>
      <c r="V115" s="4">
        <v>2.2429999999999999</v>
      </c>
      <c r="W115" s="4">
        <v>1.518</v>
      </c>
      <c r="X115" s="4">
        <v>3.7130000000000001</v>
      </c>
      <c r="Y115" s="4">
        <v>9.1029999999999998</v>
      </c>
      <c r="Z115" s="8">
        <v>4554</v>
      </c>
      <c r="AA115" s="8">
        <v>5270</v>
      </c>
      <c r="AB115" s="4">
        <v>4702</v>
      </c>
      <c r="AC115" s="4">
        <v>0.06</v>
      </c>
      <c r="AD115" s="5">
        <v>0.94499999999999995</v>
      </c>
      <c r="AE115" s="16">
        <v>0.08</v>
      </c>
      <c r="AF115" s="4">
        <v>0</v>
      </c>
      <c r="AG115" s="4">
        <v>1</v>
      </c>
      <c r="AH115" s="4">
        <v>2.98</v>
      </c>
      <c r="AI115" s="4">
        <v>2.93493</v>
      </c>
      <c r="AJ115" s="4">
        <v>4.0999999999999999E-4</v>
      </c>
      <c r="AK115" s="4">
        <v>6.0999999999999997E-4</v>
      </c>
      <c r="AL115" s="4">
        <v>0</v>
      </c>
      <c r="AM115" s="4">
        <v>0</v>
      </c>
      <c r="AN115" s="4">
        <v>0.23300000000000001</v>
      </c>
      <c r="AO115" s="5">
        <f t="shared" si="21"/>
        <v>0.86413662239089184</v>
      </c>
      <c r="AP115" s="8">
        <f t="shared" si="22"/>
        <v>148</v>
      </c>
      <c r="AQ115" s="6">
        <f t="shared" si="16"/>
        <v>0.79144385026737973</v>
      </c>
      <c r="AR115" s="5">
        <f t="shared" si="23"/>
        <v>0.8922201138519924</v>
      </c>
      <c r="AS115" s="5">
        <f t="shared" si="24"/>
        <v>0.50118523535387738</v>
      </c>
      <c r="AT115" s="5">
        <f t="shared" si="27"/>
        <v>2.8461647929415395E-2</v>
      </c>
      <c r="AU115" s="5">
        <f t="shared" si="26"/>
        <v>0</v>
      </c>
      <c r="AV115" s="4">
        <f t="shared" si="28"/>
        <v>0</v>
      </c>
      <c r="AW115" s="4">
        <f t="shared" si="29"/>
        <v>5</v>
      </c>
      <c r="AX115" s="4">
        <f t="shared" si="30"/>
        <v>0</v>
      </c>
      <c r="AY115" s="4">
        <f t="shared" si="31"/>
        <v>0</v>
      </c>
      <c r="AZ115" s="4">
        <f t="shared" si="25"/>
        <v>0</v>
      </c>
    </row>
    <row r="116" spans="1:52" x14ac:dyDescent="0.3">
      <c r="A116" s="4" t="s">
        <v>52</v>
      </c>
      <c r="B116" s="4" t="s">
        <v>56</v>
      </c>
      <c r="C116" s="4" t="s">
        <v>54</v>
      </c>
      <c r="D116" s="4" t="s">
        <v>57</v>
      </c>
      <c r="E116" s="4" t="s">
        <v>55</v>
      </c>
      <c r="F116" s="4">
        <v>2</v>
      </c>
      <c r="G116" s="4">
        <v>0.04</v>
      </c>
      <c r="H116" s="4" t="b">
        <v>0</v>
      </c>
      <c r="I116" s="4" t="b">
        <v>0</v>
      </c>
      <c r="J116" s="4" t="b">
        <v>0</v>
      </c>
      <c r="K116" s="4">
        <v>2.9529999999999998</v>
      </c>
      <c r="L116" s="4">
        <v>5.1999999999999998E-2</v>
      </c>
      <c r="M116" s="4">
        <v>-5.8000000000000003E-2</v>
      </c>
      <c r="N116" s="4">
        <v>0</v>
      </c>
      <c r="O116" s="4">
        <v>0</v>
      </c>
      <c r="P116" s="4">
        <v>5.0000000000000001E-3</v>
      </c>
      <c r="Q116" s="5">
        <v>1E-3</v>
      </c>
      <c r="R116" s="5">
        <v>0.18</v>
      </c>
      <c r="S116" s="9">
        <v>1637.6089999999999</v>
      </c>
      <c r="T116" s="4">
        <v>1838.375</v>
      </c>
      <c r="U116" s="4">
        <v>1.5249999999999999</v>
      </c>
      <c r="V116" s="4">
        <v>2.2650000000000001</v>
      </c>
      <c r="W116" s="4">
        <v>1.516</v>
      </c>
      <c r="X116" s="4">
        <v>3.6680000000000001</v>
      </c>
      <c r="Y116" s="4">
        <v>8.9760000000000009</v>
      </c>
      <c r="Z116" s="8">
        <v>4590</v>
      </c>
      <c r="AA116" s="8">
        <v>5270</v>
      </c>
      <c r="AB116" s="4">
        <v>4743</v>
      </c>
      <c r="AC116" s="4">
        <v>0.06</v>
      </c>
      <c r="AD116" s="5">
        <v>0.94499999999999995</v>
      </c>
      <c r="AE116" s="16">
        <v>0.08</v>
      </c>
      <c r="AF116" s="4">
        <v>0</v>
      </c>
      <c r="AG116" s="4">
        <v>1</v>
      </c>
      <c r="AH116" s="4">
        <v>2.96</v>
      </c>
      <c r="AI116" s="4">
        <v>2.9437700000000002</v>
      </c>
      <c r="AJ116" s="4">
        <v>7.2999999999999996E-4</v>
      </c>
      <c r="AK116" s="4">
        <v>6.3000000000000003E-4</v>
      </c>
      <c r="AL116" s="4">
        <v>0</v>
      </c>
      <c r="AM116" s="4">
        <v>0</v>
      </c>
      <c r="AN116" s="4">
        <v>0.4</v>
      </c>
      <c r="AO116" s="5">
        <f t="shared" si="21"/>
        <v>0.87096774193548387</v>
      </c>
      <c r="AP116" s="8">
        <f t="shared" si="22"/>
        <v>153</v>
      </c>
      <c r="AQ116" s="6">
        <f t="shared" si="16"/>
        <v>0.81818181818181823</v>
      </c>
      <c r="AR116" s="5">
        <f t="shared" si="23"/>
        <v>0.9</v>
      </c>
      <c r="AS116" s="5">
        <f t="shared" si="24"/>
        <v>0.5181171689806976</v>
      </c>
      <c r="AT116" s="5">
        <f t="shared" si="27"/>
        <v>8.2338410868670359E-2</v>
      </c>
      <c r="AU116" s="5">
        <f t="shared" si="26"/>
        <v>0.41169205434335177</v>
      </c>
      <c r="AV116" s="4">
        <f t="shared" si="28"/>
        <v>0</v>
      </c>
      <c r="AW116" s="4">
        <f t="shared" si="29"/>
        <v>5</v>
      </c>
      <c r="AX116" s="4">
        <f t="shared" si="30"/>
        <v>0</v>
      </c>
      <c r="AY116" s="4">
        <f t="shared" si="31"/>
        <v>0</v>
      </c>
      <c r="AZ116" s="4">
        <f t="shared" si="25"/>
        <v>0</v>
      </c>
    </row>
    <row r="117" spans="1:52" x14ac:dyDescent="0.3">
      <c r="A117" s="4" t="s">
        <v>52</v>
      </c>
      <c r="B117" s="4" t="s">
        <v>56</v>
      </c>
      <c r="C117" s="4" t="s">
        <v>54</v>
      </c>
      <c r="D117" s="4" t="s">
        <v>57</v>
      </c>
      <c r="E117" s="4" t="s">
        <v>55</v>
      </c>
      <c r="F117" s="4">
        <v>2</v>
      </c>
      <c r="G117" s="4">
        <v>0.04</v>
      </c>
      <c r="H117" s="4" t="b">
        <v>0</v>
      </c>
      <c r="I117" s="4" t="b">
        <v>0</v>
      </c>
      <c r="J117" s="4" t="b">
        <v>0</v>
      </c>
      <c r="K117" s="4">
        <v>2.9529999999999998</v>
      </c>
      <c r="L117" s="4">
        <v>5.1999999999999998E-2</v>
      </c>
      <c r="M117" s="4">
        <v>-5.8000000000000003E-2</v>
      </c>
      <c r="N117" s="4">
        <v>0</v>
      </c>
      <c r="O117" s="4">
        <v>0</v>
      </c>
      <c r="P117" s="4">
        <v>5.0000000000000001E-3</v>
      </c>
      <c r="Q117" s="5">
        <v>1E-3</v>
      </c>
      <c r="R117" s="5">
        <v>0.18</v>
      </c>
      <c r="S117" s="9">
        <v>1649.576</v>
      </c>
      <c r="T117" s="4">
        <v>1838.375</v>
      </c>
      <c r="U117" s="4">
        <v>1.58</v>
      </c>
      <c r="V117" s="4">
        <v>2.8130000000000002</v>
      </c>
      <c r="W117" s="4">
        <v>1.7010000000000001</v>
      </c>
      <c r="X117" s="4">
        <v>3.931</v>
      </c>
      <c r="Y117" s="4">
        <v>10.028</v>
      </c>
      <c r="Z117" s="8">
        <v>4627</v>
      </c>
      <c r="AA117" s="8">
        <v>5270</v>
      </c>
      <c r="AB117" s="4">
        <v>4779</v>
      </c>
      <c r="AC117" s="4">
        <v>0.06</v>
      </c>
      <c r="AD117" s="5">
        <v>0.94499999999999995</v>
      </c>
      <c r="AE117" s="16">
        <v>0.08</v>
      </c>
      <c r="AF117" s="4">
        <v>0</v>
      </c>
      <c r="AG117" s="4">
        <v>1</v>
      </c>
      <c r="AH117" s="4">
        <v>2.98</v>
      </c>
      <c r="AI117" s="4">
        <v>2.9783400000000002</v>
      </c>
      <c r="AJ117" s="4">
        <v>2.8900000000000002E-3</v>
      </c>
      <c r="AK117" s="4">
        <v>1.2600000000000001E-3</v>
      </c>
      <c r="AL117" s="4">
        <v>0</v>
      </c>
      <c r="AM117" s="4">
        <v>0</v>
      </c>
      <c r="AN117" s="4">
        <v>0.40400000000000003</v>
      </c>
      <c r="AO117" s="5">
        <f t="shared" si="21"/>
        <v>0.87798861480075896</v>
      </c>
      <c r="AP117" s="8">
        <f t="shared" si="22"/>
        <v>152</v>
      </c>
      <c r="AQ117" s="6">
        <f t="shared" si="16"/>
        <v>0.81283422459893051</v>
      </c>
      <c r="AR117" s="5">
        <f t="shared" si="23"/>
        <v>0.90683111954459206</v>
      </c>
      <c r="AS117" s="5">
        <f t="shared" si="24"/>
        <v>0.51473078225533353</v>
      </c>
      <c r="AT117" s="5">
        <f t="shared" si="27"/>
        <v>6.562578447943343E-2</v>
      </c>
      <c r="AU117" s="5">
        <f t="shared" si="26"/>
        <v>-8.3563131946184657E-2</v>
      </c>
      <c r="AV117" s="4">
        <f t="shared" si="28"/>
        <v>0</v>
      </c>
      <c r="AW117" s="4">
        <f t="shared" si="29"/>
        <v>5</v>
      </c>
      <c r="AX117" s="4">
        <f t="shared" si="30"/>
        <v>0</v>
      </c>
      <c r="AY117" s="4">
        <f t="shared" si="31"/>
        <v>0</v>
      </c>
      <c r="AZ117" s="4">
        <f t="shared" si="25"/>
        <v>0</v>
      </c>
    </row>
    <row r="118" spans="1:52" x14ac:dyDescent="0.3">
      <c r="A118" s="4" t="s">
        <v>52</v>
      </c>
      <c r="B118" s="4" t="s">
        <v>56</v>
      </c>
      <c r="C118" s="4" t="s">
        <v>54</v>
      </c>
      <c r="D118" s="4" t="s">
        <v>56</v>
      </c>
      <c r="E118" s="4" t="s">
        <v>55</v>
      </c>
      <c r="F118" s="4">
        <v>2</v>
      </c>
      <c r="G118" s="4">
        <v>0.04</v>
      </c>
      <c r="H118" s="4" t="b">
        <v>0</v>
      </c>
      <c r="I118" s="4" t="b">
        <v>0</v>
      </c>
      <c r="J118" s="4" t="b">
        <v>0</v>
      </c>
      <c r="K118" s="4">
        <v>2.9529999999999998</v>
      </c>
      <c r="L118" s="4">
        <v>5.1999999999999998E-2</v>
      </c>
      <c r="M118" s="4">
        <v>-5.8000000000000003E-2</v>
      </c>
      <c r="N118" s="4">
        <v>8370.5480000000007</v>
      </c>
      <c r="O118" s="4">
        <v>7.6999999999999999E-2</v>
      </c>
      <c r="P118" s="4">
        <v>5.0000000000000001E-3</v>
      </c>
      <c r="Q118" s="5">
        <v>1E-3</v>
      </c>
      <c r="R118" s="5">
        <v>0.18</v>
      </c>
      <c r="S118" s="9">
        <v>1664.7829999999999</v>
      </c>
      <c r="T118" s="4">
        <v>1838.375</v>
      </c>
      <c r="U118" s="4">
        <v>2.5289999999999999</v>
      </c>
      <c r="V118" s="4">
        <v>2.36</v>
      </c>
      <c r="W118" s="4">
        <v>1.8029999999999999</v>
      </c>
      <c r="X118" s="4">
        <v>4.9980000000000002</v>
      </c>
      <c r="Y118" s="4">
        <v>11.693</v>
      </c>
      <c r="Z118" s="8">
        <v>4674</v>
      </c>
      <c r="AA118" s="8">
        <v>5270</v>
      </c>
      <c r="AB118" s="4">
        <v>4817</v>
      </c>
      <c r="AC118" s="4">
        <v>0.06</v>
      </c>
      <c r="AD118" s="5">
        <v>0.95</v>
      </c>
      <c r="AE118" s="16">
        <v>0</v>
      </c>
      <c r="AF118" s="4">
        <v>0</v>
      </c>
      <c r="AG118" s="4">
        <v>0.95</v>
      </c>
      <c r="AH118" s="4">
        <v>3</v>
      </c>
      <c r="AI118" s="4">
        <v>3.00569</v>
      </c>
      <c r="AJ118" s="4">
        <v>1.8E-3</v>
      </c>
      <c r="AK118" s="4">
        <v>1.3500000000000001E-3</v>
      </c>
      <c r="AL118" s="4">
        <v>0</v>
      </c>
      <c r="AM118" s="4">
        <v>0</v>
      </c>
      <c r="AN118" s="4">
        <v>0.379</v>
      </c>
      <c r="AO118" s="5">
        <f t="shared" si="21"/>
        <v>0.88690702087286533</v>
      </c>
      <c r="AP118" s="8">
        <f t="shared" si="22"/>
        <v>143</v>
      </c>
      <c r="AQ118" s="6">
        <f t="shared" si="16"/>
        <v>0.76470588235294112</v>
      </c>
      <c r="AR118" s="5">
        <f t="shared" si="23"/>
        <v>0.9140417457305503</v>
      </c>
      <c r="AS118" s="5">
        <f t="shared" si="24"/>
        <v>0.48425330172705722</v>
      </c>
      <c r="AT118" s="5">
        <f t="shared" si="27"/>
        <v>-5.2740757244773465E-2</v>
      </c>
      <c r="AU118" s="5">
        <f t="shared" si="26"/>
        <v>-0.59183270862103443</v>
      </c>
      <c r="AV118" s="4">
        <f t="shared" si="28"/>
        <v>0</v>
      </c>
      <c r="AW118" s="4">
        <f t="shared" si="29"/>
        <v>5</v>
      </c>
      <c r="AX118" s="4">
        <f t="shared" si="30"/>
        <v>0</v>
      </c>
      <c r="AY118" s="4">
        <f t="shared" si="31"/>
        <v>0</v>
      </c>
      <c r="AZ118" s="4">
        <f t="shared" si="25"/>
        <v>0</v>
      </c>
    </row>
    <row r="119" spans="1:52" x14ac:dyDescent="0.3">
      <c r="A119" s="4" t="s">
        <v>52</v>
      </c>
      <c r="B119" s="4" t="s">
        <v>56</v>
      </c>
      <c r="C119" s="4" t="s">
        <v>54</v>
      </c>
      <c r="D119" s="4" t="s">
        <v>56</v>
      </c>
      <c r="E119" s="4" t="s">
        <v>55</v>
      </c>
      <c r="F119" s="4">
        <v>2</v>
      </c>
      <c r="G119" s="4">
        <v>0.04</v>
      </c>
      <c r="H119" s="4" t="b">
        <v>0</v>
      </c>
      <c r="I119" s="4" t="b">
        <v>0</v>
      </c>
      <c r="J119" s="4" t="b">
        <v>0</v>
      </c>
      <c r="K119" s="4">
        <v>2.9529999999999998</v>
      </c>
      <c r="L119" s="4">
        <v>5.1999999999999998E-2</v>
      </c>
      <c r="M119" s="4">
        <v>-5.8000000000000003E-2</v>
      </c>
      <c r="N119" s="4">
        <v>3355.9110000000001</v>
      </c>
      <c r="O119" s="4">
        <v>0.17799999999999999</v>
      </c>
      <c r="P119" s="4">
        <v>5.0000000000000001E-3</v>
      </c>
      <c r="Q119" s="5">
        <v>1E-3</v>
      </c>
      <c r="R119" s="5">
        <v>0.18</v>
      </c>
      <c r="S119" s="9">
        <v>1682.164</v>
      </c>
      <c r="T119" s="4">
        <v>1838.375</v>
      </c>
      <c r="U119" s="4">
        <v>1.679</v>
      </c>
      <c r="V119" s="4">
        <v>2.2850000000000001</v>
      </c>
      <c r="W119" s="4">
        <v>1.8049999999999999</v>
      </c>
      <c r="X119" s="4">
        <v>3.4990000000000001</v>
      </c>
      <c r="Y119" s="4">
        <v>9.2690000000000001</v>
      </c>
      <c r="Z119" s="8">
        <v>4726</v>
      </c>
      <c r="AA119" s="8">
        <v>5270</v>
      </c>
      <c r="AB119" s="4">
        <v>4867</v>
      </c>
      <c r="AC119" s="4">
        <v>0.06</v>
      </c>
      <c r="AD119" s="5">
        <v>0.96499999999999997</v>
      </c>
      <c r="AE119" s="16">
        <v>0</v>
      </c>
      <c r="AF119" s="4">
        <v>0</v>
      </c>
      <c r="AG119" s="4">
        <v>0.96499999999999997</v>
      </c>
      <c r="AH119" s="4">
        <v>3.02</v>
      </c>
      <c r="AI119" s="4">
        <v>3.0123099999999998</v>
      </c>
      <c r="AJ119" s="4">
        <v>3.8000000000000002E-4</v>
      </c>
      <c r="AK119" s="4">
        <v>1.1800000000000001E-3</v>
      </c>
      <c r="AL119" s="4">
        <v>0</v>
      </c>
      <c r="AM119" s="4">
        <v>0</v>
      </c>
      <c r="AN119" s="4">
        <v>0.193</v>
      </c>
      <c r="AO119" s="5">
        <f t="shared" si="21"/>
        <v>0.89677419354838706</v>
      </c>
      <c r="AP119" s="8">
        <f t="shared" si="22"/>
        <v>141</v>
      </c>
      <c r="AQ119" s="6">
        <f t="shared" si="16"/>
        <v>0.75401069518716579</v>
      </c>
      <c r="AR119" s="5">
        <f t="shared" si="23"/>
        <v>0.92352941176470593</v>
      </c>
      <c r="AS119" s="5">
        <f t="shared" si="24"/>
        <v>0.47748052827632914</v>
      </c>
      <c r="AT119" s="5">
        <f t="shared" si="27"/>
        <v>-7.5754392823853961E-2</v>
      </c>
      <c r="AU119" s="5">
        <f t="shared" si="26"/>
        <v>-0.11506817789540245</v>
      </c>
      <c r="AV119" s="4">
        <f t="shared" si="28"/>
        <v>0</v>
      </c>
      <c r="AW119" s="4">
        <f t="shared" si="29"/>
        <v>5</v>
      </c>
      <c r="AX119" s="4">
        <f t="shared" si="30"/>
        <v>0</v>
      </c>
      <c r="AY119" s="4">
        <f t="shared" si="31"/>
        <v>0</v>
      </c>
      <c r="AZ119" s="4">
        <f t="shared" si="25"/>
        <v>0</v>
      </c>
    </row>
    <row r="120" spans="1:52" x14ac:dyDescent="0.3">
      <c r="A120" s="4" t="s">
        <v>52</v>
      </c>
      <c r="B120" s="4" t="s">
        <v>56</v>
      </c>
      <c r="C120" s="4" t="s">
        <v>54</v>
      </c>
      <c r="D120" s="4" t="s">
        <v>56</v>
      </c>
      <c r="E120" s="4" t="s">
        <v>55</v>
      </c>
      <c r="F120" s="4">
        <v>2</v>
      </c>
      <c r="G120" s="4">
        <v>0.04</v>
      </c>
      <c r="H120" s="4" t="b">
        <v>0</v>
      </c>
      <c r="I120" s="4" t="b">
        <v>0</v>
      </c>
      <c r="J120" s="4" t="b">
        <v>0</v>
      </c>
      <c r="K120" s="4">
        <v>2.9529999999999998</v>
      </c>
      <c r="L120" s="4">
        <v>5.1999999999999998E-2</v>
      </c>
      <c r="M120" s="4">
        <v>-5.8000000000000003E-2</v>
      </c>
      <c r="N120" s="4">
        <v>-1014.812</v>
      </c>
      <c r="O120" s="4">
        <v>-0.53600000000000003</v>
      </c>
      <c r="P120" s="4">
        <v>5.0000000000000001E-3</v>
      </c>
      <c r="Q120" s="5">
        <v>1E-3</v>
      </c>
      <c r="R120" s="5">
        <v>0.18</v>
      </c>
      <c r="S120" s="9">
        <v>1695.635</v>
      </c>
      <c r="T120" s="4">
        <v>1838.375</v>
      </c>
      <c r="U120" s="4">
        <v>1.389</v>
      </c>
      <c r="V120" s="4">
        <v>2.1230000000000002</v>
      </c>
      <c r="W120" s="4">
        <v>1.4239999999999999</v>
      </c>
      <c r="X120" s="4">
        <v>3.4780000000000002</v>
      </c>
      <c r="Y120" s="4">
        <v>8.4160000000000004</v>
      </c>
      <c r="Z120" s="8">
        <v>4766</v>
      </c>
      <c r="AA120" s="8">
        <v>5270</v>
      </c>
      <c r="AB120" s="4">
        <v>4911</v>
      </c>
      <c r="AC120" s="4">
        <v>0.06</v>
      </c>
      <c r="AD120" s="5">
        <v>0.92500000000000004</v>
      </c>
      <c r="AE120" s="16">
        <v>0</v>
      </c>
      <c r="AF120" s="4">
        <v>0</v>
      </c>
      <c r="AG120" s="4">
        <v>0.92500000000000004</v>
      </c>
      <c r="AH120" s="4">
        <v>3.04</v>
      </c>
      <c r="AI120" s="4">
        <v>3.02121</v>
      </c>
      <c r="AJ120" s="4">
        <v>6.6E-4</v>
      </c>
      <c r="AK120" s="4">
        <v>1.23E-3</v>
      </c>
      <c r="AL120" s="4">
        <v>0</v>
      </c>
      <c r="AM120" s="4">
        <v>0</v>
      </c>
      <c r="AN120" s="4">
        <v>0.2</v>
      </c>
      <c r="AO120" s="5">
        <f t="shared" si="21"/>
        <v>0.90436432637571162</v>
      </c>
      <c r="AP120" s="8">
        <f t="shared" si="22"/>
        <v>145</v>
      </c>
      <c r="AQ120" s="6">
        <f t="shared" si="16"/>
        <v>0.77540106951871657</v>
      </c>
      <c r="AR120" s="5">
        <f t="shared" si="23"/>
        <v>0.93187855787476281</v>
      </c>
      <c r="AS120" s="5">
        <f t="shared" si="24"/>
        <v>0.49102607517778529</v>
      </c>
      <c r="AT120" s="5">
        <f t="shared" si="27"/>
        <v>-1.6367561853621614E-2</v>
      </c>
      <c r="AU120" s="5">
        <f t="shared" si="26"/>
        <v>0.2969341548511617</v>
      </c>
      <c r="AV120" s="4">
        <f t="shared" si="28"/>
        <v>0</v>
      </c>
      <c r="AW120" s="4">
        <f t="shared" si="29"/>
        <v>5</v>
      </c>
      <c r="AX120" s="4">
        <f t="shared" si="30"/>
        <v>0</v>
      </c>
      <c r="AY120" s="4">
        <f t="shared" si="31"/>
        <v>0</v>
      </c>
      <c r="AZ120" s="4">
        <f t="shared" si="25"/>
        <v>0</v>
      </c>
    </row>
    <row r="121" spans="1:52" x14ac:dyDescent="0.3">
      <c r="A121" s="4" t="s">
        <v>52</v>
      </c>
      <c r="B121" s="4" t="s">
        <v>56</v>
      </c>
      <c r="C121" s="4" t="s">
        <v>54</v>
      </c>
      <c r="D121" s="4" t="s">
        <v>56</v>
      </c>
      <c r="E121" s="4" t="s">
        <v>55</v>
      </c>
      <c r="F121" s="4">
        <v>2</v>
      </c>
      <c r="G121" s="4">
        <v>0.04</v>
      </c>
      <c r="H121" s="4" t="b">
        <v>0</v>
      </c>
      <c r="I121" s="4" t="b">
        <v>0</v>
      </c>
      <c r="J121" s="4" t="b">
        <v>0</v>
      </c>
      <c r="K121" s="4">
        <v>2.9529999999999998</v>
      </c>
      <c r="L121" s="4">
        <v>5.1999999999999998E-2</v>
      </c>
      <c r="M121" s="4">
        <v>-5.8000000000000003E-2</v>
      </c>
      <c r="N121" s="4">
        <v>-3181.3009999999999</v>
      </c>
      <c r="O121" s="4">
        <v>-0.158</v>
      </c>
      <c r="P121" s="4">
        <v>5.0000000000000001E-3</v>
      </c>
      <c r="Q121" s="5">
        <v>1E-3</v>
      </c>
      <c r="R121" s="5">
        <v>0.18</v>
      </c>
      <c r="S121" s="9">
        <v>1707.8430000000001</v>
      </c>
      <c r="T121" s="4">
        <v>1838.375</v>
      </c>
      <c r="U121" s="4">
        <v>1.506</v>
      </c>
      <c r="V121" s="4">
        <v>2.117</v>
      </c>
      <c r="W121" s="4">
        <v>1.4850000000000001</v>
      </c>
      <c r="X121" s="4">
        <v>3.698</v>
      </c>
      <c r="Y121" s="4">
        <v>8.8079999999999998</v>
      </c>
      <c r="Z121" s="8">
        <v>4802</v>
      </c>
      <c r="AA121" s="8">
        <v>5270</v>
      </c>
      <c r="AB121" s="4">
        <v>4949</v>
      </c>
      <c r="AC121" s="4">
        <v>0.06</v>
      </c>
      <c r="AD121" s="5">
        <v>0.91500000000000004</v>
      </c>
      <c r="AE121" s="16">
        <v>0</v>
      </c>
      <c r="AF121" s="4">
        <v>0</v>
      </c>
      <c r="AG121" s="4">
        <v>0.91500000000000004</v>
      </c>
      <c r="AH121" s="4">
        <v>2.96</v>
      </c>
      <c r="AI121" s="4">
        <v>3.0184799999999998</v>
      </c>
      <c r="AJ121" s="4">
        <v>-2.2000000000000001E-4</v>
      </c>
      <c r="AK121" s="4">
        <v>1.06E-3</v>
      </c>
      <c r="AL121" s="4">
        <v>0</v>
      </c>
      <c r="AM121" s="4">
        <v>0</v>
      </c>
      <c r="AN121" s="4">
        <v>0.153</v>
      </c>
      <c r="AO121" s="5">
        <f t="shared" si="21"/>
        <v>0.91119544592030366</v>
      </c>
      <c r="AP121" s="8">
        <f t="shared" si="22"/>
        <v>147</v>
      </c>
      <c r="AQ121" s="6">
        <f t="shared" si="16"/>
        <v>0.78609625668449201</v>
      </c>
      <c r="AR121" s="5">
        <f t="shared" si="23"/>
        <v>0.93908918406072106</v>
      </c>
      <c r="AS121" s="5">
        <f t="shared" si="24"/>
        <v>0.49779884862851337</v>
      </c>
      <c r="AT121" s="5">
        <f t="shared" si="27"/>
        <v>-6.5940572984415399E-2</v>
      </c>
      <c r="AU121" s="5">
        <f t="shared" si="26"/>
        <v>0.16382699868938289</v>
      </c>
      <c r="AV121" s="4">
        <f t="shared" si="28"/>
        <v>0</v>
      </c>
      <c r="AW121" s="4">
        <f t="shared" si="29"/>
        <v>5</v>
      </c>
      <c r="AX121" s="4">
        <f t="shared" si="30"/>
        <v>0</v>
      </c>
      <c r="AY121" s="4">
        <f t="shared" si="31"/>
        <v>0</v>
      </c>
      <c r="AZ121" s="4">
        <f t="shared" si="25"/>
        <v>0</v>
      </c>
    </row>
    <row r="122" spans="1:52" x14ac:dyDescent="0.3">
      <c r="A122" s="4" t="s">
        <v>52</v>
      </c>
      <c r="B122" s="4" t="s">
        <v>56</v>
      </c>
      <c r="C122" s="4" t="s">
        <v>54</v>
      </c>
      <c r="D122" s="4" t="s">
        <v>56</v>
      </c>
      <c r="E122" s="4" t="s">
        <v>55</v>
      </c>
      <c r="F122" s="4">
        <v>2</v>
      </c>
      <c r="G122" s="4">
        <v>0.04</v>
      </c>
      <c r="H122" s="4" t="b">
        <v>0</v>
      </c>
      <c r="I122" s="4" t="b">
        <v>0</v>
      </c>
      <c r="J122" s="4" t="b">
        <v>0</v>
      </c>
      <c r="K122" s="4">
        <v>2.9529999999999998</v>
      </c>
      <c r="L122" s="4">
        <v>5.1999999999999998E-2</v>
      </c>
      <c r="M122" s="4">
        <v>-5.8000000000000003E-2</v>
      </c>
      <c r="N122" s="4">
        <v>5893.9340000000002</v>
      </c>
      <c r="O122" s="4">
        <v>7.9000000000000001E-2</v>
      </c>
      <c r="P122" s="4">
        <v>5.0000000000000001E-3</v>
      </c>
      <c r="Q122" s="5">
        <v>1E-3</v>
      </c>
      <c r="R122" s="5">
        <v>0.18</v>
      </c>
      <c r="S122" s="9">
        <v>1720.9179999999999</v>
      </c>
      <c r="T122" s="4">
        <v>1838.375</v>
      </c>
      <c r="U122" s="4">
        <v>1.8959999999999999</v>
      </c>
      <c r="V122" s="4">
        <v>2.2789999999999999</v>
      </c>
      <c r="W122" s="4">
        <v>1.425</v>
      </c>
      <c r="X122" s="4">
        <v>3.476</v>
      </c>
      <c r="Y122" s="4">
        <v>9.0779999999999994</v>
      </c>
      <c r="Z122" s="8">
        <v>4841</v>
      </c>
      <c r="AA122" s="8">
        <v>5270</v>
      </c>
      <c r="AB122" s="4">
        <v>4986</v>
      </c>
      <c r="AC122" s="4">
        <v>0.06</v>
      </c>
      <c r="AD122" s="5">
        <v>0.92</v>
      </c>
      <c r="AE122" s="16">
        <v>0</v>
      </c>
      <c r="AF122" s="4">
        <v>0</v>
      </c>
      <c r="AG122" s="4">
        <v>0.92</v>
      </c>
      <c r="AH122" s="4">
        <v>3</v>
      </c>
      <c r="AI122" s="4">
        <v>2.9996399999999999</v>
      </c>
      <c r="AJ122" s="4">
        <v>-1.4400000000000001E-3</v>
      </c>
      <c r="AK122" s="4">
        <v>2.9999999999999997E-4</v>
      </c>
      <c r="AL122" s="4">
        <v>0</v>
      </c>
      <c r="AM122" s="4">
        <v>0</v>
      </c>
      <c r="AN122" s="4">
        <v>0.14899999999999999</v>
      </c>
      <c r="AO122" s="5">
        <f t="shared" si="21"/>
        <v>0.91859582542694496</v>
      </c>
      <c r="AP122" s="8">
        <f t="shared" si="22"/>
        <v>145</v>
      </c>
      <c r="AQ122" s="6">
        <f t="shared" si="16"/>
        <v>0.77540106951871657</v>
      </c>
      <c r="AR122" s="5">
        <f t="shared" si="23"/>
        <v>0.94611005692599626</v>
      </c>
      <c r="AS122" s="5">
        <f t="shared" si="24"/>
        <v>0.49102607517778529</v>
      </c>
      <c r="AT122" s="5">
        <f t="shared" si="27"/>
        <v>-7.9820680820800308E-2</v>
      </c>
      <c r="AU122" s="5">
        <f t="shared" si="26"/>
        <v>-0.15296367112810921</v>
      </c>
      <c r="AV122" s="4">
        <f t="shared" si="28"/>
        <v>0</v>
      </c>
      <c r="AW122" s="4">
        <f t="shared" si="29"/>
        <v>5</v>
      </c>
      <c r="AX122" s="4">
        <f t="shared" si="30"/>
        <v>0</v>
      </c>
      <c r="AY122" s="4">
        <f t="shared" si="31"/>
        <v>0</v>
      </c>
      <c r="AZ122" s="4">
        <f t="shared" si="25"/>
        <v>0</v>
      </c>
    </row>
    <row r="123" spans="1:52" x14ac:dyDescent="0.3">
      <c r="A123" s="4" t="s">
        <v>52</v>
      </c>
      <c r="B123" s="4" t="s">
        <v>56</v>
      </c>
      <c r="C123" s="4" t="s">
        <v>54</v>
      </c>
      <c r="D123" s="4" t="s">
        <v>57</v>
      </c>
      <c r="E123" s="4" t="s">
        <v>55</v>
      </c>
      <c r="F123" s="4">
        <v>2</v>
      </c>
      <c r="G123" s="4">
        <v>0.04</v>
      </c>
      <c r="H123" s="4" t="b">
        <v>0</v>
      </c>
      <c r="I123" s="4" t="b">
        <v>0</v>
      </c>
      <c r="J123" s="4" t="b">
        <v>0</v>
      </c>
      <c r="K123" s="4">
        <v>2.9529999999999998</v>
      </c>
      <c r="L123" s="4">
        <v>5.1999999999999998E-2</v>
      </c>
      <c r="M123" s="4">
        <v>-5.8000000000000003E-2</v>
      </c>
      <c r="N123" s="4">
        <v>0</v>
      </c>
      <c r="O123" s="4">
        <v>0</v>
      </c>
      <c r="P123" s="4">
        <v>5.0000000000000001E-3</v>
      </c>
      <c r="Q123" s="5">
        <v>1E-3</v>
      </c>
      <c r="R123" s="5">
        <v>0.18</v>
      </c>
      <c r="S123" s="9">
        <v>1734.0350000000001</v>
      </c>
      <c r="T123" s="4">
        <v>1838.375</v>
      </c>
      <c r="U123" s="4">
        <v>2.4630000000000001</v>
      </c>
      <c r="V123" s="4">
        <v>2.0830000000000002</v>
      </c>
      <c r="W123" s="4">
        <v>1.339</v>
      </c>
      <c r="X123" s="4">
        <v>3.5859999999999999</v>
      </c>
      <c r="Y123" s="4">
        <v>9.4740000000000002</v>
      </c>
      <c r="Z123" s="8">
        <v>4879</v>
      </c>
      <c r="AA123" s="8">
        <v>5270</v>
      </c>
      <c r="AB123" s="4">
        <v>5025</v>
      </c>
      <c r="AC123" s="4">
        <v>0.06</v>
      </c>
      <c r="AD123" s="5">
        <v>0.92</v>
      </c>
      <c r="AE123" s="16">
        <v>0.08</v>
      </c>
      <c r="AF123" s="4">
        <v>0</v>
      </c>
      <c r="AG123" s="4">
        <v>1</v>
      </c>
      <c r="AH123" s="4">
        <v>2.94</v>
      </c>
      <c r="AI123" s="4">
        <v>2.9601999999999999</v>
      </c>
      <c r="AJ123" s="4">
        <v>-3.0100000000000001E-3</v>
      </c>
      <c r="AK123" s="4">
        <v>-6.6E-4</v>
      </c>
      <c r="AL123" s="4">
        <v>0</v>
      </c>
      <c r="AM123" s="4">
        <v>0</v>
      </c>
      <c r="AN123" s="4">
        <v>0.16</v>
      </c>
      <c r="AO123" s="5">
        <f t="shared" si="21"/>
        <v>0.9258064516129032</v>
      </c>
      <c r="AP123" s="8">
        <f t="shared" si="22"/>
        <v>146</v>
      </c>
      <c r="AQ123" s="6">
        <f t="shared" si="16"/>
        <v>0.78074866310160429</v>
      </c>
      <c r="AR123" s="5">
        <f t="shared" si="23"/>
        <v>0.95351043643263755</v>
      </c>
      <c r="AS123" s="5">
        <f t="shared" si="24"/>
        <v>0.4944124619031493</v>
      </c>
      <c r="AT123" s="5">
        <f t="shared" si="27"/>
        <v>5.3793249788059862E-2</v>
      </c>
      <c r="AU123" s="5">
        <f t="shared" si="26"/>
        <v>7.6236944423266423E-2</v>
      </c>
      <c r="AV123" s="4">
        <f t="shared" si="28"/>
        <v>0</v>
      </c>
      <c r="AW123" s="4">
        <f t="shared" si="29"/>
        <v>5</v>
      </c>
      <c r="AX123" s="4">
        <f t="shared" si="30"/>
        <v>0</v>
      </c>
      <c r="AY123" s="4">
        <f t="shared" si="31"/>
        <v>0</v>
      </c>
      <c r="AZ123" s="4">
        <f t="shared" si="25"/>
        <v>0</v>
      </c>
    </row>
    <row r="124" spans="1:52" x14ac:dyDescent="0.3">
      <c r="A124" s="4" t="s">
        <v>52</v>
      </c>
      <c r="B124" s="4" t="s">
        <v>56</v>
      </c>
      <c r="C124" s="4" t="s">
        <v>54</v>
      </c>
      <c r="D124" s="4" t="s">
        <v>56</v>
      </c>
      <c r="E124" s="4" t="s">
        <v>55</v>
      </c>
      <c r="F124" s="4">
        <v>2</v>
      </c>
      <c r="G124" s="4">
        <v>0.04</v>
      </c>
      <c r="H124" s="4" t="b">
        <v>0</v>
      </c>
      <c r="I124" s="4" t="b">
        <v>0</v>
      </c>
      <c r="J124" s="4" t="b">
        <v>0</v>
      </c>
      <c r="K124" s="4">
        <v>2.9529999999999998</v>
      </c>
      <c r="L124" s="4">
        <v>5.1999999999999998E-2</v>
      </c>
      <c r="M124" s="4">
        <v>-5.8000000000000003E-2</v>
      </c>
      <c r="N124" s="4">
        <v>2641.7190000000001</v>
      </c>
      <c r="O124" s="4">
        <v>0.14799999999999999</v>
      </c>
      <c r="P124" s="4">
        <v>5.0000000000000001E-3</v>
      </c>
      <c r="Q124" s="5">
        <v>1E-3</v>
      </c>
      <c r="R124" s="5">
        <v>0.18</v>
      </c>
      <c r="S124" s="9">
        <v>1747.31</v>
      </c>
      <c r="T124" s="4">
        <v>1838.375</v>
      </c>
      <c r="U124" s="4">
        <v>1.504</v>
      </c>
      <c r="V124" s="4">
        <v>2.1419999999999999</v>
      </c>
      <c r="W124" s="4">
        <v>1.4890000000000001</v>
      </c>
      <c r="X124" s="4">
        <v>4.7889999999999997</v>
      </c>
      <c r="Y124" s="4">
        <v>9.9250000000000007</v>
      </c>
      <c r="Z124" s="8">
        <v>4918</v>
      </c>
      <c r="AA124" s="8">
        <v>5270</v>
      </c>
      <c r="AB124" s="4">
        <v>5065</v>
      </c>
      <c r="AC124" s="4">
        <v>0.06</v>
      </c>
      <c r="AD124" s="5">
        <v>0.93</v>
      </c>
      <c r="AE124" s="16">
        <v>0</v>
      </c>
      <c r="AF124" s="4">
        <v>0</v>
      </c>
      <c r="AG124" s="4">
        <v>0.93</v>
      </c>
      <c r="AH124" s="4">
        <v>2.94</v>
      </c>
      <c r="AI124" s="4">
        <v>2.9472200000000002</v>
      </c>
      <c r="AJ124" s="4">
        <v>-9.7999999999999997E-4</v>
      </c>
      <c r="AK124" s="4">
        <v>-1E-3</v>
      </c>
      <c r="AL124" s="4">
        <v>0</v>
      </c>
      <c r="AM124" s="4">
        <v>0</v>
      </c>
      <c r="AN124" s="4">
        <v>0.35699999999999998</v>
      </c>
      <c r="AO124" s="5">
        <f t="shared" si="21"/>
        <v>0.93320683111954461</v>
      </c>
      <c r="AP124" s="8">
        <f t="shared" si="22"/>
        <v>147</v>
      </c>
      <c r="AQ124" s="6">
        <f t="shared" si="16"/>
        <v>0.78609625668449201</v>
      </c>
      <c r="AR124" s="5">
        <f t="shared" si="23"/>
        <v>0.96110056925996201</v>
      </c>
      <c r="AS124" s="5">
        <f t="shared" si="24"/>
        <v>0.49779884862851337</v>
      </c>
      <c r="AT124" s="5">
        <f t="shared" si="27"/>
        <v>9.1872798738138625E-2</v>
      </c>
      <c r="AU124" s="5">
        <f t="shared" si="26"/>
        <v>7.5329566854991356E-2</v>
      </c>
      <c r="AV124" s="4">
        <f t="shared" si="28"/>
        <v>0</v>
      </c>
      <c r="AW124" s="4">
        <f t="shared" si="29"/>
        <v>5</v>
      </c>
      <c r="AX124" s="4">
        <f t="shared" si="30"/>
        <v>0</v>
      </c>
      <c r="AY124" s="4">
        <f t="shared" si="31"/>
        <v>0</v>
      </c>
      <c r="AZ124" s="4">
        <f t="shared" si="25"/>
        <v>0</v>
      </c>
    </row>
    <row r="125" spans="1:52" x14ac:dyDescent="0.3">
      <c r="A125" s="4" t="s">
        <v>52</v>
      </c>
      <c r="B125" s="4" t="s">
        <v>56</v>
      </c>
      <c r="C125" s="4" t="s">
        <v>54</v>
      </c>
      <c r="D125" s="4" t="s">
        <v>56</v>
      </c>
      <c r="E125" s="4" t="s">
        <v>55</v>
      </c>
      <c r="F125" s="4">
        <v>2</v>
      </c>
      <c r="G125" s="4">
        <v>0.04</v>
      </c>
      <c r="H125" s="4" t="b">
        <v>0</v>
      </c>
      <c r="I125" s="4" t="b">
        <v>0</v>
      </c>
      <c r="J125" s="4" t="b">
        <v>0</v>
      </c>
      <c r="K125" s="4">
        <v>2.9529999999999998</v>
      </c>
      <c r="L125" s="4">
        <v>5.1999999999999998E-2</v>
      </c>
      <c r="M125" s="4">
        <v>-5.8000000000000003E-2</v>
      </c>
      <c r="N125" s="4">
        <v>2416.1060000000002</v>
      </c>
      <c r="O125" s="4">
        <v>0.14599999999999999</v>
      </c>
      <c r="P125" s="4">
        <v>5.0000000000000001E-3</v>
      </c>
      <c r="Q125" s="5">
        <v>1E-3</v>
      </c>
      <c r="R125" s="5">
        <v>0.18</v>
      </c>
      <c r="S125" s="9">
        <v>1762.86</v>
      </c>
      <c r="T125" s="4">
        <v>1838.375</v>
      </c>
      <c r="U125" s="4">
        <v>1.7949999999999999</v>
      </c>
      <c r="V125" s="4">
        <v>2.0179999999999998</v>
      </c>
      <c r="W125" s="4">
        <v>1.415</v>
      </c>
      <c r="X125" s="4">
        <v>3.33</v>
      </c>
      <c r="Y125" s="4">
        <v>8.5589999999999993</v>
      </c>
      <c r="Z125" s="8">
        <v>4965</v>
      </c>
      <c r="AA125" s="8">
        <v>5270</v>
      </c>
      <c r="AB125" s="4">
        <v>5106</v>
      </c>
      <c r="AC125" s="4">
        <v>0.06</v>
      </c>
      <c r="AD125" s="5">
        <v>0.94</v>
      </c>
      <c r="AE125" s="16">
        <v>0</v>
      </c>
      <c r="AF125" s="4">
        <v>0</v>
      </c>
      <c r="AG125" s="4">
        <v>0.94</v>
      </c>
      <c r="AH125" s="4">
        <v>3</v>
      </c>
      <c r="AI125" s="4">
        <v>2.9601899999999999</v>
      </c>
      <c r="AJ125" s="4">
        <v>8.3000000000000001E-4</v>
      </c>
      <c r="AK125" s="4">
        <v>-9.1E-4</v>
      </c>
      <c r="AL125" s="4">
        <v>0</v>
      </c>
      <c r="AM125" s="4">
        <v>0</v>
      </c>
      <c r="AN125" s="4">
        <v>0.22900000000000001</v>
      </c>
      <c r="AO125" s="5">
        <f t="shared" si="21"/>
        <v>0.94212523719165087</v>
      </c>
      <c r="AP125" s="8">
        <f t="shared" si="22"/>
        <v>141</v>
      </c>
      <c r="AQ125" s="6">
        <f t="shared" si="16"/>
        <v>0.75401069518716579</v>
      </c>
      <c r="AR125" s="5">
        <f t="shared" si="23"/>
        <v>0.96888045540796963</v>
      </c>
      <c r="AS125" s="5">
        <f t="shared" si="24"/>
        <v>0.47748052827632914</v>
      </c>
      <c r="AT125" s="5">
        <f t="shared" si="27"/>
        <v>-4.4684450238524812E-2</v>
      </c>
      <c r="AU125" s="5">
        <f t="shared" si="26"/>
        <v>-0.38585209003215548</v>
      </c>
      <c r="AV125" s="4">
        <f t="shared" si="28"/>
        <v>0</v>
      </c>
      <c r="AW125" s="4">
        <f t="shared" si="29"/>
        <v>5</v>
      </c>
      <c r="AX125" s="4">
        <f t="shared" si="30"/>
        <v>0</v>
      </c>
      <c r="AY125" s="4">
        <f t="shared" si="31"/>
        <v>0</v>
      </c>
      <c r="AZ125" s="4">
        <f t="shared" si="25"/>
        <v>0</v>
      </c>
    </row>
    <row r="126" spans="1:52" x14ac:dyDescent="0.3">
      <c r="A126" s="4" t="s">
        <v>52</v>
      </c>
      <c r="B126" s="4" t="s">
        <v>56</v>
      </c>
      <c r="C126" s="4" t="s">
        <v>54</v>
      </c>
      <c r="D126" s="4" t="s">
        <v>56</v>
      </c>
      <c r="E126" s="4" t="s">
        <v>55</v>
      </c>
      <c r="F126" s="4">
        <v>2</v>
      </c>
      <c r="G126" s="4">
        <v>0.04</v>
      </c>
      <c r="H126" s="4" t="b">
        <v>0</v>
      </c>
      <c r="I126" s="4" t="b">
        <v>0</v>
      </c>
      <c r="J126" s="4" t="b">
        <v>0</v>
      </c>
      <c r="K126" s="4">
        <v>2.9529999999999998</v>
      </c>
      <c r="L126" s="4">
        <v>5.1999999999999998E-2</v>
      </c>
      <c r="M126" s="4">
        <v>-5.8000000000000003E-2</v>
      </c>
      <c r="N126" s="4">
        <v>-865.04899999999998</v>
      </c>
      <c r="O126" s="4">
        <v>-0.35299999999999998</v>
      </c>
      <c r="P126" s="4">
        <v>5.0000000000000001E-3</v>
      </c>
      <c r="Q126" s="5">
        <v>1E-3</v>
      </c>
      <c r="R126" s="5">
        <v>0.18</v>
      </c>
      <c r="S126" s="9">
        <v>1775.598</v>
      </c>
      <c r="T126" s="4">
        <v>1838.375</v>
      </c>
      <c r="U126" s="4">
        <v>1.4490000000000001</v>
      </c>
      <c r="V126" s="4">
        <v>2.0720000000000001</v>
      </c>
      <c r="W126" s="4">
        <v>1.452</v>
      </c>
      <c r="X126" s="4">
        <v>3.3559999999999999</v>
      </c>
      <c r="Y126" s="4">
        <v>8.33</v>
      </c>
      <c r="Z126" s="8">
        <v>5002</v>
      </c>
      <c r="AA126" s="8">
        <v>5270</v>
      </c>
      <c r="AB126" s="4">
        <v>5148</v>
      </c>
      <c r="AC126" s="4">
        <v>0.06</v>
      </c>
      <c r="AD126" s="5">
        <v>0.91500000000000004</v>
      </c>
      <c r="AE126" s="16">
        <v>0</v>
      </c>
      <c r="AF126" s="4">
        <v>0</v>
      </c>
      <c r="AG126" s="4">
        <v>0.91500000000000004</v>
      </c>
      <c r="AH126" s="4">
        <v>2.94</v>
      </c>
      <c r="AI126" s="4">
        <v>2.95181</v>
      </c>
      <c r="AJ126" s="4">
        <v>-6.6E-4</v>
      </c>
      <c r="AK126" s="4">
        <v>-9.7999999999999997E-4</v>
      </c>
      <c r="AL126" s="4">
        <v>0</v>
      </c>
      <c r="AM126" s="4">
        <v>0</v>
      </c>
      <c r="AN126" s="4">
        <v>0.222</v>
      </c>
      <c r="AO126" s="5">
        <f t="shared" si="21"/>
        <v>0.94914611005692595</v>
      </c>
      <c r="AP126" s="8">
        <f t="shared" si="22"/>
        <v>146</v>
      </c>
      <c r="AQ126" s="6">
        <f t="shared" si="16"/>
        <v>0.78074866310160429</v>
      </c>
      <c r="AR126" s="5">
        <f t="shared" si="23"/>
        <v>0.9768500948766603</v>
      </c>
      <c r="AS126" s="5">
        <f t="shared" si="24"/>
        <v>0.4944124619031493</v>
      </c>
      <c r="AT126" s="5">
        <f t="shared" si="27"/>
        <v>1.055409876008373E-3</v>
      </c>
      <c r="AU126" s="5">
        <f t="shared" si="26"/>
        <v>0.39252629926204879</v>
      </c>
      <c r="AV126" s="4">
        <f t="shared" si="28"/>
        <v>0</v>
      </c>
      <c r="AW126" s="4">
        <f t="shared" si="29"/>
        <v>5</v>
      </c>
      <c r="AX126" s="4">
        <f t="shared" si="30"/>
        <v>0</v>
      </c>
      <c r="AY126" s="4">
        <f t="shared" si="31"/>
        <v>0</v>
      </c>
      <c r="AZ126" s="4">
        <f t="shared" si="25"/>
        <v>0</v>
      </c>
    </row>
    <row r="127" spans="1:52" x14ac:dyDescent="0.3">
      <c r="A127" s="4" t="s">
        <v>52</v>
      </c>
      <c r="B127" s="4" t="s">
        <v>56</v>
      </c>
      <c r="C127" s="4" t="s">
        <v>54</v>
      </c>
      <c r="D127" s="4" t="s">
        <v>56</v>
      </c>
      <c r="E127" s="4" t="s">
        <v>55</v>
      </c>
      <c r="F127" s="4">
        <v>2</v>
      </c>
      <c r="G127" s="4">
        <v>0.04</v>
      </c>
      <c r="H127" s="4" t="b">
        <v>0</v>
      </c>
      <c r="I127" s="4" t="b">
        <v>0</v>
      </c>
      <c r="J127" s="4" t="b">
        <v>0</v>
      </c>
      <c r="K127" s="4">
        <v>2.9529999999999998</v>
      </c>
      <c r="L127" s="4">
        <v>5.1999999999999998E-2</v>
      </c>
      <c r="M127" s="4">
        <v>-5.8000000000000003E-2</v>
      </c>
      <c r="N127" s="4">
        <v>-3353.116</v>
      </c>
      <c r="O127" s="4">
        <v>-0.08</v>
      </c>
      <c r="P127" s="4">
        <v>5.0000000000000001E-3</v>
      </c>
      <c r="Q127" s="5">
        <v>1E-3</v>
      </c>
      <c r="R127" s="5">
        <v>0.18</v>
      </c>
      <c r="S127" s="9">
        <v>1788.511</v>
      </c>
      <c r="T127" s="4">
        <v>1838.375</v>
      </c>
      <c r="U127" s="4">
        <v>1.377</v>
      </c>
      <c r="V127" s="4">
        <v>2.2080000000000002</v>
      </c>
      <c r="W127" s="4">
        <v>1.359</v>
      </c>
      <c r="X127" s="4">
        <v>3.38</v>
      </c>
      <c r="Y127" s="4">
        <v>8.3260000000000005</v>
      </c>
      <c r="Z127" s="8">
        <v>5039</v>
      </c>
      <c r="AA127" s="8">
        <v>5270</v>
      </c>
      <c r="AB127" s="4">
        <v>5184</v>
      </c>
      <c r="AC127" s="4">
        <v>0.06</v>
      </c>
      <c r="AD127" s="5">
        <v>0.91</v>
      </c>
      <c r="AE127" s="16">
        <v>0</v>
      </c>
      <c r="AF127" s="4">
        <v>0</v>
      </c>
      <c r="AG127" s="4">
        <v>0.91</v>
      </c>
      <c r="AH127" s="4">
        <v>2.94</v>
      </c>
      <c r="AI127" s="4">
        <v>2.9293</v>
      </c>
      <c r="AJ127" s="4">
        <v>-1.74E-3</v>
      </c>
      <c r="AK127" s="4">
        <v>-1.0399999999999999E-3</v>
      </c>
      <c r="AL127" s="4">
        <v>0</v>
      </c>
      <c r="AM127" s="4">
        <v>0</v>
      </c>
      <c r="AN127" s="4">
        <v>0.17799999999999999</v>
      </c>
      <c r="AO127" s="5">
        <f t="shared" si="21"/>
        <v>0.95616698292220115</v>
      </c>
      <c r="AP127" s="8">
        <f t="shared" si="22"/>
        <v>145</v>
      </c>
      <c r="AQ127" s="6">
        <f t="shared" si="16"/>
        <v>0.77540106951871657</v>
      </c>
      <c r="AR127" s="5">
        <f t="shared" si="23"/>
        <v>0.98368121442125234</v>
      </c>
      <c r="AS127" s="5">
        <f t="shared" si="24"/>
        <v>0.49102607517778529</v>
      </c>
      <c r="AT127" s="5">
        <f t="shared" si="27"/>
        <v>1.6159876464365459E-2</v>
      </c>
      <c r="AU127" s="5">
        <f t="shared" si="26"/>
        <v>-7.7441338186323788E-2</v>
      </c>
      <c r="AV127" s="4">
        <f t="shared" si="28"/>
        <v>0</v>
      </c>
      <c r="AW127" s="4">
        <f t="shared" si="29"/>
        <v>5</v>
      </c>
      <c r="AX127" s="4">
        <f t="shared" si="30"/>
        <v>0</v>
      </c>
      <c r="AY127" s="4">
        <f t="shared" si="31"/>
        <v>0</v>
      </c>
      <c r="AZ127" s="4">
        <f t="shared" si="25"/>
        <v>0</v>
      </c>
    </row>
    <row r="128" spans="1:52" x14ac:dyDescent="0.3">
      <c r="A128" s="4" t="s">
        <v>52</v>
      </c>
      <c r="B128" s="4" t="s">
        <v>60</v>
      </c>
      <c r="C128" s="4" t="s">
        <v>54</v>
      </c>
      <c r="D128" s="4" t="s">
        <v>57</v>
      </c>
      <c r="E128" s="4" t="s">
        <v>55</v>
      </c>
      <c r="F128" s="4">
        <v>2</v>
      </c>
      <c r="G128" s="4">
        <v>0.04</v>
      </c>
      <c r="H128" s="4" t="b">
        <v>0</v>
      </c>
      <c r="I128" s="4" t="b">
        <v>0</v>
      </c>
      <c r="J128" s="4" t="b">
        <v>0</v>
      </c>
      <c r="K128" s="4">
        <v>2.9529999999999998</v>
      </c>
      <c r="L128" s="4">
        <v>5.1999999999999998E-2</v>
      </c>
      <c r="M128" s="4">
        <v>-5.8000000000000003E-2</v>
      </c>
      <c r="N128" s="4">
        <v>-2982.355</v>
      </c>
      <c r="O128" s="4">
        <v>-7.6999999999999999E-2</v>
      </c>
      <c r="P128" s="4">
        <v>5.0000000000000001E-3</v>
      </c>
      <c r="Q128" s="5">
        <v>1E-3</v>
      </c>
      <c r="R128" s="5">
        <v>0.18</v>
      </c>
      <c r="S128" s="9">
        <v>1801.155</v>
      </c>
      <c r="T128" s="4">
        <v>1838.375</v>
      </c>
      <c r="U128" s="4">
        <v>1.522</v>
      </c>
      <c r="V128" s="4">
        <v>1.9850000000000001</v>
      </c>
      <c r="W128" s="4">
        <v>1.321</v>
      </c>
      <c r="X128" s="4">
        <v>3.38</v>
      </c>
      <c r="Y128" s="4">
        <v>8.2100000000000009</v>
      </c>
      <c r="Z128" s="8">
        <v>5076</v>
      </c>
      <c r="AA128" s="8">
        <v>5270</v>
      </c>
      <c r="AB128" s="4">
        <v>5220</v>
      </c>
      <c r="AC128" s="4">
        <v>0.06</v>
      </c>
      <c r="AD128" s="5">
        <v>0.90500000000000003</v>
      </c>
      <c r="AE128" s="16">
        <v>0.08</v>
      </c>
      <c r="AF128" s="4">
        <v>-1.3939999999999999E-2</v>
      </c>
      <c r="AG128" s="4">
        <v>0.97106000000000003</v>
      </c>
      <c r="AH128" s="4">
        <v>2.94</v>
      </c>
      <c r="AI128" s="4">
        <v>2.9350399999999999</v>
      </c>
      <c r="AJ128" s="4">
        <v>4.4999999999999999E-4</v>
      </c>
      <c r="AK128" s="4">
        <v>-3.6999999999999999E-4</v>
      </c>
      <c r="AL128" s="4">
        <v>0</v>
      </c>
      <c r="AM128" s="4">
        <v>0</v>
      </c>
      <c r="AN128" s="4">
        <v>0.189</v>
      </c>
      <c r="AO128" s="5">
        <f t="shared" si="21"/>
        <v>0.96318785578747623</v>
      </c>
      <c r="AP128" s="8">
        <f t="shared" si="22"/>
        <v>144</v>
      </c>
      <c r="AQ128" s="6">
        <f t="shared" si="16"/>
        <v>0.77005347593582885</v>
      </c>
      <c r="AR128" s="5">
        <f t="shared" si="23"/>
        <v>0.99051233396584437</v>
      </c>
      <c r="AS128" s="5">
        <f t="shared" si="24"/>
        <v>0.48763968845242123</v>
      </c>
      <c r="AT128" s="5">
        <f t="shared" si="27"/>
        <v>-1.4905291604090409E-2</v>
      </c>
      <c r="AU128" s="5">
        <f t="shared" si="26"/>
        <v>-7.9088895919012941E-2</v>
      </c>
      <c r="AV128" s="4">
        <f t="shared" si="28"/>
        <v>0</v>
      </c>
      <c r="AW128" s="4">
        <f t="shared" si="29"/>
        <v>0</v>
      </c>
      <c r="AX128" s="4">
        <f t="shared" si="30"/>
        <v>5</v>
      </c>
      <c r="AY128" s="4">
        <f t="shared" si="31"/>
        <v>0</v>
      </c>
      <c r="AZ128" s="4">
        <f t="shared" si="25"/>
        <v>0</v>
      </c>
    </row>
    <row r="129" spans="1:52" x14ac:dyDescent="0.3">
      <c r="A129" s="4" t="s">
        <v>52</v>
      </c>
      <c r="B129" s="4" t="s">
        <v>60</v>
      </c>
      <c r="C129" s="4" t="s">
        <v>54</v>
      </c>
      <c r="D129" s="4" t="s">
        <v>57</v>
      </c>
      <c r="E129" s="4" t="s">
        <v>55</v>
      </c>
      <c r="F129" s="4">
        <v>2</v>
      </c>
      <c r="G129" s="4">
        <v>0.04</v>
      </c>
      <c r="H129" s="4" t="b">
        <v>0</v>
      </c>
      <c r="I129" s="4" t="b">
        <v>0</v>
      </c>
      <c r="J129" s="4" t="b">
        <v>0</v>
      </c>
      <c r="K129" s="4">
        <v>2.9529999999999998</v>
      </c>
      <c r="L129" s="4">
        <v>5.1999999999999998E-2</v>
      </c>
      <c r="M129" s="4">
        <v>-5.8000000000000003E-2</v>
      </c>
      <c r="N129" s="4">
        <v>-220.97300000000001</v>
      </c>
      <c r="O129" s="4">
        <v>-0.878</v>
      </c>
      <c r="P129" s="4">
        <v>5.0000000000000001E-3</v>
      </c>
      <c r="Q129" s="5">
        <v>1E-3</v>
      </c>
      <c r="R129" s="5">
        <v>0.18</v>
      </c>
      <c r="S129" s="9">
        <v>1813.671</v>
      </c>
      <c r="T129" s="4">
        <v>1838.375</v>
      </c>
      <c r="U129" s="4">
        <v>1.637</v>
      </c>
      <c r="V129" s="4">
        <v>2.0640000000000001</v>
      </c>
      <c r="W129" s="4">
        <v>1.359</v>
      </c>
      <c r="X129" s="4">
        <v>3.3889999999999998</v>
      </c>
      <c r="Y129" s="4">
        <v>8.4510000000000005</v>
      </c>
      <c r="Z129" s="8">
        <v>5113</v>
      </c>
      <c r="AA129" s="8">
        <v>5270</v>
      </c>
      <c r="AB129" s="4">
        <v>5246</v>
      </c>
      <c r="AC129" s="4">
        <v>0.06</v>
      </c>
      <c r="AD129" s="5">
        <v>0.85</v>
      </c>
      <c r="AE129" s="16">
        <v>0.08</v>
      </c>
      <c r="AF129" s="4">
        <v>-0.15803</v>
      </c>
      <c r="AG129" s="4">
        <v>0.77197000000000005</v>
      </c>
      <c r="AH129" s="4">
        <v>2.9</v>
      </c>
      <c r="AI129" s="4">
        <v>2.9384999999999999</v>
      </c>
      <c r="AJ129" s="4">
        <v>2.7999999999999998E-4</v>
      </c>
      <c r="AK129" s="4">
        <v>-1.2999999999999999E-4</v>
      </c>
      <c r="AL129" s="4">
        <v>0</v>
      </c>
      <c r="AM129" s="4">
        <v>0</v>
      </c>
      <c r="AN129" s="4">
        <v>0.35699999999999998</v>
      </c>
      <c r="AO129" s="5">
        <f t="shared" si="21"/>
        <v>0.97020872865275143</v>
      </c>
      <c r="AP129" s="8">
        <f t="shared" si="22"/>
        <v>133</v>
      </c>
      <c r="AQ129" s="6">
        <f t="shared" si="16"/>
        <v>0.71122994652406413</v>
      </c>
      <c r="AR129" s="5">
        <f t="shared" si="23"/>
        <v>0.99544592030360535</v>
      </c>
      <c r="AS129" s="5">
        <f t="shared" si="24"/>
        <v>0.45038943447341684</v>
      </c>
      <c r="AT129" s="5">
        <f t="shared" si="27"/>
        <v>-0.2057462129648607</v>
      </c>
      <c r="AU129" s="5">
        <f t="shared" si="26"/>
        <v>-0.87887503994886007</v>
      </c>
      <c r="AV129" s="4">
        <f t="shared" si="28"/>
        <v>0</v>
      </c>
      <c r="AW129" s="4">
        <f t="shared" si="29"/>
        <v>0</v>
      </c>
      <c r="AX129" s="4">
        <f t="shared" si="30"/>
        <v>5</v>
      </c>
      <c r="AY129" s="4">
        <f t="shared" si="31"/>
        <v>0</v>
      </c>
      <c r="AZ129" s="4">
        <f t="shared" si="25"/>
        <v>0</v>
      </c>
    </row>
    <row r="130" spans="1:52" x14ac:dyDescent="0.3">
      <c r="A130" s="4" t="s">
        <v>52</v>
      </c>
      <c r="B130" s="4" t="s">
        <v>60</v>
      </c>
      <c r="C130" s="4" t="s">
        <v>54</v>
      </c>
      <c r="D130" s="4" t="s">
        <v>57</v>
      </c>
      <c r="E130" s="4" t="s">
        <v>55</v>
      </c>
      <c r="F130" s="4">
        <v>2</v>
      </c>
      <c r="G130" s="4">
        <v>0.04</v>
      </c>
      <c r="H130" s="4" t="b">
        <v>0</v>
      </c>
      <c r="I130" s="4" t="b">
        <v>0</v>
      </c>
      <c r="J130" s="4" t="b">
        <v>0</v>
      </c>
      <c r="K130" s="4">
        <v>2.9529999999999998</v>
      </c>
      <c r="L130" s="4">
        <v>5.1999999999999998E-2</v>
      </c>
      <c r="M130" s="4">
        <v>-5.8000000000000003E-2</v>
      </c>
      <c r="N130" s="4">
        <v>-95.375</v>
      </c>
      <c r="O130" s="4">
        <v>-1.6459999999999999</v>
      </c>
      <c r="P130" s="4">
        <v>5.0000000000000001E-3</v>
      </c>
      <c r="Q130" s="5">
        <v>1E-3</v>
      </c>
      <c r="R130" s="5">
        <v>0.18</v>
      </c>
      <c r="S130" s="9">
        <v>1825.925</v>
      </c>
      <c r="T130" s="4">
        <v>1838.375</v>
      </c>
      <c r="U130" s="4">
        <v>1.54</v>
      </c>
      <c r="V130" s="4">
        <v>2.1480000000000001</v>
      </c>
      <c r="W130" s="4">
        <v>1.528</v>
      </c>
      <c r="X130" s="4">
        <v>3.4449999999999998</v>
      </c>
      <c r="Y130" s="4">
        <v>8.6620000000000008</v>
      </c>
      <c r="Z130" s="8">
        <v>5148</v>
      </c>
      <c r="AA130" s="8">
        <v>5270</v>
      </c>
      <c r="AB130" s="4">
        <v>5262</v>
      </c>
      <c r="AC130" s="4">
        <v>0.06</v>
      </c>
      <c r="AD130" s="5">
        <v>0.745</v>
      </c>
      <c r="AE130" s="16">
        <v>0.08</v>
      </c>
      <c r="AF130" s="4">
        <v>-0.29630000000000001</v>
      </c>
      <c r="AG130" s="4">
        <v>0.52869999999999995</v>
      </c>
      <c r="AH130" s="4">
        <v>2.9</v>
      </c>
      <c r="AI130" s="4">
        <v>2.9018099999999998</v>
      </c>
      <c r="AJ130" s="4">
        <v>-2.99E-3</v>
      </c>
      <c r="AK130" s="4">
        <v>-9.3000000000000005E-4</v>
      </c>
      <c r="AL130" s="4">
        <v>0</v>
      </c>
      <c r="AM130" s="4">
        <v>0</v>
      </c>
      <c r="AN130" s="4">
        <v>0.218</v>
      </c>
      <c r="AO130" s="5">
        <f t="shared" si="21"/>
        <v>0.9768500948766603</v>
      </c>
      <c r="AP130" s="8">
        <f t="shared" si="22"/>
        <v>114</v>
      </c>
      <c r="AQ130" s="6">
        <f t="shared" ref="AQ130:AQ155" si="32">AP130/MAX(AP:AP)</f>
        <v>0.60962566844919786</v>
      </c>
      <c r="AR130" s="5">
        <f t="shared" si="23"/>
        <v>0.99848197343453515</v>
      </c>
      <c r="AS130" s="5">
        <f t="shared" si="24"/>
        <v>0.38604808669150015</v>
      </c>
      <c r="AT130" s="5">
        <f t="shared" si="27"/>
        <v>-0.43867861852624657</v>
      </c>
      <c r="AU130" s="5">
        <f t="shared" si="26"/>
        <v>-1.5505141178390849</v>
      </c>
      <c r="AV130" s="4">
        <f t="shared" ref="AV130:AV155" si="33">IF(B130="ACCELERATION",5,0)</f>
        <v>0</v>
      </c>
      <c r="AW130" s="4">
        <f t="shared" ref="AW130:AW155" si="34">IF(B130="CRUISING",5,0)</f>
        <v>0</v>
      </c>
      <c r="AX130" s="4">
        <f t="shared" ref="AX130:AX155" si="35">IF(B130="DECELERATION",5,0)</f>
        <v>5</v>
      </c>
      <c r="AY130" s="4">
        <f t="shared" ref="AY130:AY155" si="36">IF(B130="END",5,0)</f>
        <v>0</v>
      </c>
      <c r="AZ130" s="4">
        <f t="shared" si="25"/>
        <v>0</v>
      </c>
    </row>
    <row r="131" spans="1:52" x14ac:dyDescent="0.3">
      <c r="A131" s="4" t="s">
        <v>52</v>
      </c>
      <c r="B131" s="4" t="s">
        <v>60</v>
      </c>
      <c r="C131" s="4" t="s">
        <v>54</v>
      </c>
      <c r="D131" s="4" t="s">
        <v>57</v>
      </c>
      <c r="E131" s="4" t="s">
        <v>55</v>
      </c>
      <c r="F131" s="4">
        <v>2</v>
      </c>
      <c r="G131" s="4">
        <v>0.04</v>
      </c>
      <c r="H131" s="4" t="b">
        <v>0</v>
      </c>
      <c r="I131" s="4" t="b">
        <v>0</v>
      </c>
      <c r="J131" s="4" t="b">
        <v>0</v>
      </c>
      <c r="K131" s="4">
        <v>2.9529999999999998</v>
      </c>
      <c r="L131" s="4">
        <v>5.1999999999999998E-2</v>
      </c>
      <c r="M131" s="4">
        <v>-5.8000000000000003E-2</v>
      </c>
      <c r="N131" s="4">
        <v>-56.323999999999998</v>
      </c>
      <c r="O131" s="4">
        <v>-2.1659999999999999</v>
      </c>
      <c r="P131" s="4">
        <v>5.0000000000000001E-3</v>
      </c>
      <c r="Q131" s="5">
        <v>1E-3</v>
      </c>
      <c r="R131" s="5">
        <v>0.18</v>
      </c>
      <c r="S131" s="9">
        <v>1838.345</v>
      </c>
      <c r="T131" s="4">
        <v>1838.375</v>
      </c>
      <c r="U131" s="4">
        <v>1.3859999999999999</v>
      </c>
      <c r="V131" s="4">
        <v>2.085</v>
      </c>
      <c r="W131" s="4">
        <v>1.2909999999999999</v>
      </c>
      <c r="X131" s="4">
        <v>3.4129999999999998</v>
      </c>
      <c r="Y131" s="4">
        <v>8.1769999999999996</v>
      </c>
      <c r="Z131" s="8">
        <v>5183</v>
      </c>
      <c r="AA131" s="8">
        <v>5270</v>
      </c>
      <c r="AB131" s="4">
        <v>5270</v>
      </c>
      <c r="AC131" s="4">
        <v>0.06</v>
      </c>
      <c r="AD131" s="5">
        <v>0.61</v>
      </c>
      <c r="AE131" s="16">
        <v>0.08</v>
      </c>
      <c r="AF131" s="4">
        <v>-0.38988</v>
      </c>
      <c r="AG131" s="4">
        <v>0.30012</v>
      </c>
      <c r="AH131" s="4">
        <v>2.9</v>
      </c>
      <c r="AI131" s="4">
        <v>2.8845800000000001</v>
      </c>
      <c r="AJ131" s="4">
        <v>-1.39E-3</v>
      </c>
      <c r="AK131" s="4">
        <v>-1.07E-3</v>
      </c>
      <c r="AL131" s="4">
        <v>0</v>
      </c>
      <c r="AM131" s="4">
        <v>0</v>
      </c>
      <c r="AN131" s="4">
        <v>6.5000000000000002E-2</v>
      </c>
      <c r="AO131" s="5">
        <f t="shared" ref="AO131:AO188" si="37">Z131/AA131</f>
        <v>0.98349146110056929</v>
      </c>
      <c r="AP131" s="8">
        <f t="shared" ref="AP131:AP188" si="38">AB131-Z131</f>
        <v>87</v>
      </c>
      <c r="AQ131" s="6">
        <f t="shared" si="32"/>
        <v>0.46524064171122997</v>
      </c>
      <c r="AR131" s="5">
        <f t="shared" ref="AR131:AR188" si="39">AB131/AA131</f>
        <v>1</v>
      </c>
      <c r="AS131" s="5">
        <f t="shared" ref="AS131:AS188" si="40">AP131/(100*K131)</f>
        <v>0.29461564510667115</v>
      </c>
      <c r="AT131" s="5">
        <f t="shared" si="27"/>
        <v>-0.95196648707430609</v>
      </c>
      <c r="AU131" s="5">
        <f t="shared" si="26"/>
        <v>-2.1739130434782483</v>
      </c>
      <c r="AV131" s="4">
        <f t="shared" si="33"/>
        <v>0</v>
      </c>
      <c r="AW131" s="4">
        <f t="shared" si="34"/>
        <v>0</v>
      </c>
      <c r="AX131" s="4">
        <f t="shared" si="35"/>
        <v>5</v>
      </c>
      <c r="AY131" s="4">
        <f t="shared" si="36"/>
        <v>0</v>
      </c>
      <c r="AZ131" s="4">
        <f t="shared" ref="AZ131:AZ188" si="41">IF(ABS(Z131-AA131)&lt;5,5,0)</f>
        <v>0</v>
      </c>
    </row>
    <row r="132" spans="1:52" x14ac:dyDescent="0.3">
      <c r="A132" s="4" t="s">
        <v>52</v>
      </c>
      <c r="B132" s="4" t="s">
        <v>61</v>
      </c>
      <c r="C132" s="4" t="s">
        <v>54</v>
      </c>
      <c r="D132" s="4" t="s">
        <v>57</v>
      </c>
      <c r="E132" s="4" t="s">
        <v>55</v>
      </c>
      <c r="F132" s="4">
        <v>2</v>
      </c>
      <c r="G132" s="4">
        <v>0.04</v>
      </c>
      <c r="H132" s="4" t="b">
        <v>0</v>
      </c>
      <c r="I132" s="4" t="b">
        <v>0</v>
      </c>
      <c r="J132" s="4" t="b">
        <v>0</v>
      </c>
      <c r="K132" s="4">
        <v>2.9529999999999998</v>
      </c>
      <c r="L132" s="4">
        <v>5.1999999999999998E-2</v>
      </c>
      <c r="M132" s="4">
        <v>-5.8000000000000003E-2</v>
      </c>
      <c r="N132" s="4">
        <v>-29.66</v>
      </c>
      <c r="O132" s="4">
        <v>-2.9329999999999998</v>
      </c>
      <c r="P132" s="4">
        <v>5.0000000000000001E-3</v>
      </c>
      <c r="Q132" s="5">
        <v>1E-3</v>
      </c>
      <c r="R132" s="5">
        <v>0.18</v>
      </c>
      <c r="S132" s="9">
        <v>1850.0509999999999</v>
      </c>
      <c r="T132" s="4">
        <v>1838.375</v>
      </c>
      <c r="U132" s="4">
        <v>1.377</v>
      </c>
      <c r="V132" s="4">
        <v>2.0859999999999999</v>
      </c>
      <c r="W132" s="4">
        <v>1.323</v>
      </c>
      <c r="X132" s="4">
        <v>3.3420000000000001</v>
      </c>
      <c r="Y132" s="4">
        <v>8.1300000000000008</v>
      </c>
      <c r="Z132" s="8">
        <v>5216</v>
      </c>
      <c r="AA132" s="8">
        <v>5270</v>
      </c>
      <c r="AB132" s="4">
        <v>5270</v>
      </c>
      <c r="AC132" s="4">
        <v>0.06</v>
      </c>
      <c r="AD132" s="5">
        <v>0.435</v>
      </c>
      <c r="AE132" s="16">
        <v>0.08</v>
      </c>
      <c r="AF132" s="4">
        <v>-0.52798</v>
      </c>
      <c r="AG132" s="4">
        <v>-1.298E-2</v>
      </c>
      <c r="AH132" s="4">
        <v>2.86</v>
      </c>
      <c r="AI132" s="4">
        <v>2.8761800000000002</v>
      </c>
      <c r="AJ132" s="4">
        <v>-7.2000000000000005E-4</v>
      </c>
      <c r="AK132" s="4">
        <v>-8.5999999999999998E-4</v>
      </c>
      <c r="AL132" s="4">
        <v>0</v>
      </c>
      <c r="AM132" s="4">
        <v>0</v>
      </c>
      <c r="AN132" s="4">
        <v>0.871</v>
      </c>
      <c r="AO132" s="5">
        <f t="shared" si="37"/>
        <v>0.98975332068311195</v>
      </c>
      <c r="AP132" s="8">
        <f t="shared" si="38"/>
        <v>54</v>
      </c>
      <c r="AQ132" s="6">
        <f t="shared" si="32"/>
        <v>0.28877005347593582</v>
      </c>
      <c r="AR132" s="5">
        <f t="shared" si="39"/>
        <v>1</v>
      </c>
      <c r="AS132" s="5">
        <f t="shared" si="40"/>
        <v>0.18286488316965796</v>
      </c>
      <c r="AT132" s="5">
        <f t="shared" si="27"/>
        <v>-1.5002916484478095</v>
      </c>
      <c r="AU132" s="5">
        <f t="shared" ref="AU132:AU188" si="42">(AP132-AP131)/(S132-S131)</f>
        <v>-2.8190671450538418</v>
      </c>
      <c r="AV132" s="4">
        <f t="shared" si="33"/>
        <v>0</v>
      </c>
      <c r="AW132" s="4">
        <f t="shared" si="34"/>
        <v>0</v>
      </c>
      <c r="AX132" s="4">
        <f t="shared" si="35"/>
        <v>0</v>
      </c>
      <c r="AY132" s="4">
        <f t="shared" si="36"/>
        <v>5</v>
      </c>
      <c r="AZ132" s="4">
        <f t="shared" si="41"/>
        <v>0</v>
      </c>
    </row>
    <row r="133" spans="1:52" x14ac:dyDescent="0.3">
      <c r="A133" s="4" t="s">
        <v>52</v>
      </c>
      <c r="B133" s="4" t="s">
        <v>61</v>
      </c>
      <c r="C133" s="4" t="s">
        <v>54</v>
      </c>
      <c r="D133" s="4" t="s">
        <v>57</v>
      </c>
      <c r="E133" s="4" t="s">
        <v>55</v>
      </c>
      <c r="F133" s="4">
        <v>2</v>
      </c>
      <c r="G133" s="4">
        <v>0.04</v>
      </c>
      <c r="H133" s="4" t="b">
        <v>0</v>
      </c>
      <c r="I133" s="4" t="b">
        <v>0</v>
      </c>
      <c r="J133" s="4" t="b">
        <v>0</v>
      </c>
      <c r="K133" s="4">
        <v>2.9529999999999998</v>
      </c>
      <c r="L133" s="4">
        <v>5.1999999999999998E-2</v>
      </c>
      <c r="M133" s="4">
        <v>-5.8000000000000003E-2</v>
      </c>
      <c r="N133" s="4">
        <v>-19.079000000000001</v>
      </c>
      <c r="O133" s="4">
        <v>-2.83</v>
      </c>
      <c r="P133" s="4">
        <v>5.0000000000000001E-3</v>
      </c>
      <c r="Q133" s="5">
        <v>1E-3</v>
      </c>
      <c r="R133" s="5">
        <v>0.18</v>
      </c>
      <c r="S133" s="9">
        <v>1861.8889999999999</v>
      </c>
      <c r="T133" s="4">
        <v>1838.375</v>
      </c>
      <c r="U133" s="4">
        <v>1.371</v>
      </c>
      <c r="V133" s="4">
        <v>2.085</v>
      </c>
      <c r="W133" s="4">
        <v>1.2490000000000001</v>
      </c>
      <c r="X133" s="4">
        <v>3.2280000000000002</v>
      </c>
      <c r="Y133" s="4">
        <v>7.9340000000000002</v>
      </c>
      <c r="Z133" s="8">
        <v>5238</v>
      </c>
      <c r="AA133" s="8">
        <v>5270</v>
      </c>
      <c r="AB133" s="4">
        <v>5270</v>
      </c>
      <c r="AC133" s="4">
        <v>0.06</v>
      </c>
      <c r="AD133" s="5">
        <v>0.27</v>
      </c>
      <c r="AE133" s="16">
        <v>0.08</v>
      </c>
      <c r="AF133" s="4">
        <v>-0.50944999999999996</v>
      </c>
      <c r="AG133" s="4">
        <v>-0.15945000000000001</v>
      </c>
      <c r="AH133" s="4">
        <v>2.76</v>
      </c>
      <c r="AI133" s="4">
        <v>2.6673499999999999</v>
      </c>
      <c r="AJ133" s="4">
        <v>-1.7639999999999999E-2</v>
      </c>
      <c r="AK133" s="4">
        <v>-4.4099999999999999E-3</v>
      </c>
      <c r="AL133" s="4">
        <v>0</v>
      </c>
      <c r="AM133" s="4">
        <v>0</v>
      </c>
      <c r="AN133" s="4">
        <v>3.298</v>
      </c>
      <c r="AO133" s="5">
        <f t="shared" si="37"/>
        <v>0.99392789373814039</v>
      </c>
      <c r="AP133" s="8">
        <f t="shared" si="38"/>
        <v>32</v>
      </c>
      <c r="AQ133" s="6">
        <f t="shared" si="32"/>
        <v>0.17112299465240641</v>
      </c>
      <c r="AR133" s="5">
        <f t="shared" si="39"/>
        <v>1</v>
      </c>
      <c r="AS133" s="5">
        <f t="shared" si="40"/>
        <v>0.10836437521164917</v>
      </c>
      <c r="AT133" s="5">
        <f t="shared" si="27"/>
        <v>-1.8561582754136956</v>
      </c>
      <c r="AU133" s="5">
        <f t="shared" si="42"/>
        <v>-1.8584220307484427</v>
      </c>
      <c r="AV133" s="4">
        <f t="shared" si="33"/>
        <v>0</v>
      </c>
      <c r="AW133" s="4">
        <f t="shared" si="34"/>
        <v>0</v>
      </c>
      <c r="AX133" s="4">
        <f t="shared" si="35"/>
        <v>0</v>
      </c>
      <c r="AY133" s="4">
        <f t="shared" si="36"/>
        <v>5</v>
      </c>
      <c r="AZ133" s="4">
        <f t="shared" si="41"/>
        <v>0</v>
      </c>
    </row>
    <row r="134" spans="1:52" x14ac:dyDescent="0.3">
      <c r="A134" s="4" t="s">
        <v>52</v>
      </c>
      <c r="B134" s="4" t="s">
        <v>61</v>
      </c>
      <c r="C134" s="4" t="s">
        <v>54</v>
      </c>
      <c r="D134" s="4" t="s">
        <v>57</v>
      </c>
      <c r="E134" s="4" t="s">
        <v>55</v>
      </c>
      <c r="F134" s="4">
        <v>2</v>
      </c>
      <c r="G134" s="4">
        <v>0.04</v>
      </c>
      <c r="H134" s="4" t="b">
        <v>0</v>
      </c>
      <c r="I134" s="4" t="b">
        <v>0</v>
      </c>
      <c r="J134" s="4" t="b">
        <v>0</v>
      </c>
      <c r="K134" s="4">
        <v>2.9529999999999998</v>
      </c>
      <c r="L134" s="4">
        <v>5.1999999999999998E-2</v>
      </c>
      <c r="M134" s="4">
        <v>-5.8000000000000003E-2</v>
      </c>
      <c r="N134" s="4">
        <v>-16.934000000000001</v>
      </c>
      <c r="O134" s="4">
        <v>-1.89</v>
      </c>
      <c r="P134" s="4">
        <v>5.0000000000000001E-3</v>
      </c>
      <c r="Q134" s="5">
        <v>1E-3</v>
      </c>
      <c r="R134" s="5">
        <v>0.18</v>
      </c>
      <c r="S134" s="9">
        <v>1873.463</v>
      </c>
      <c r="T134" s="4">
        <v>1838.375</v>
      </c>
      <c r="U134" s="4">
        <v>1.4750000000000001</v>
      </c>
      <c r="V134" s="4">
        <v>2.0569999999999999</v>
      </c>
      <c r="W134" s="4">
        <v>1.331</v>
      </c>
      <c r="X134" s="4">
        <v>3.3490000000000002</v>
      </c>
      <c r="Y134" s="4">
        <v>8.2129999999999992</v>
      </c>
      <c r="Z134" s="8">
        <v>5247</v>
      </c>
      <c r="AA134" s="8">
        <v>5270</v>
      </c>
      <c r="AB134" s="4">
        <v>5270</v>
      </c>
      <c r="AC134" s="4">
        <v>0.06</v>
      </c>
      <c r="AD134" s="5">
        <v>0.16</v>
      </c>
      <c r="AE134" s="16">
        <v>0.08</v>
      </c>
      <c r="AF134" s="4">
        <v>-0.34014</v>
      </c>
      <c r="AG134" s="4">
        <v>-0.10014000000000001</v>
      </c>
      <c r="AH134" s="4">
        <v>2.42</v>
      </c>
      <c r="AI134" s="4">
        <v>2.2410999999999999</v>
      </c>
      <c r="AJ134" s="4">
        <v>-3.6830000000000002E-2</v>
      </c>
      <c r="AK134" s="4">
        <v>-1.166E-2</v>
      </c>
      <c r="AL134" s="4">
        <v>0</v>
      </c>
      <c r="AM134" s="4">
        <v>0</v>
      </c>
      <c r="AN134" s="4">
        <v>3.8849999999999998</v>
      </c>
      <c r="AO134" s="5">
        <f t="shared" si="37"/>
        <v>0.9956356736242884</v>
      </c>
      <c r="AP134" s="8">
        <f t="shared" si="38"/>
        <v>23</v>
      </c>
      <c r="AQ134" s="6">
        <f t="shared" si="32"/>
        <v>0.12299465240641712</v>
      </c>
      <c r="AR134" s="5">
        <f t="shared" si="39"/>
        <v>1</v>
      </c>
      <c r="AS134" s="5">
        <f t="shared" si="40"/>
        <v>7.7886894683372843E-2</v>
      </c>
      <c r="AT134" s="5">
        <f t="shared" si="27"/>
        <v>-1.8359042627582927</v>
      </c>
      <c r="AU134" s="5">
        <f t="shared" si="42"/>
        <v>-0.77760497667184603</v>
      </c>
      <c r="AV134" s="4">
        <f t="shared" si="33"/>
        <v>0</v>
      </c>
      <c r="AW134" s="4">
        <f t="shared" si="34"/>
        <v>0</v>
      </c>
      <c r="AX134" s="4">
        <f t="shared" si="35"/>
        <v>0</v>
      </c>
      <c r="AY134" s="4">
        <f t="shared" si="36"/>
        <v>5</v>
      </c>
      <c r="AZ134" s="4">
        <f t="shared" si="41"/>
        <v>0</v>
      </c>
    </row>
    <row r="135" spans="1:52" x14ac:dyDescent="0.3">
      <c r="A135" s="4" t="s">
        <v>52</v>
      </c>
      <c r="B135" s="4" t="s">
        <v>61</v>
      </c>
      <c r="C135" s="4" t="s">
        <v>54</v>
      </c>
      <c r="D135" s="4" t="s">
        <v>57</v>
      </c>
      <c r="E135" s="4" t="s">
        <v>55</v>
      </c>
      <c r="F135" s="4">
        <v>2</v>
      </c>
      <c r="G135" s="4">
        <v>0.04</v>
      </c>
      <c r="H135" s="4" t="b">
        <v>0</v>
      </c>
      <c r="I135" s="4" t="b">
        <v>0</v>
      </c>
      <c r="J135" s="4" t="b">
        <v>0</v>
      </c>
      <c r="K135" s="4">
        <v>2.9529999999999998</v>
      </c>
      <c r="L135" s="4">
        <v>5.1999999999999998E-2</v>
      </c>
      <c r="M135" s="4">
        <v>-5.8000000000000003E-2</v>
      </c>
      <c r="N135" s="4">
        <v>-30.292000000000002</v>
      </c>
      <c r="O135" s="4">
        <v>-0.75900000000000001</v>
      </c>
      <c r="P135" s="4">
        <v>5.0000000000000001E-3</v>
      </c>
      <c r="Q135" s="5">
        <v>1E-3</v>
      </c>
      <c r="R135" s="5">
        <v>0.18</v>
      </c>
      <c r="S135" s="9">
        <v>1885.373</v>
      </c>
      <c r="T135" s="4">
        <v>1838.375</v>
      </c>
      <c r="U135" s="4">
        <v>1.3120000000000001</v>
      </c>
      <c r="V135" s="4">
        <v>2.0369999999999999</v>
      </c>
      <c r="W135" s="4">
        <v>1.24</v>
      </c>
      <c r="X135" s="4">
        <v>3.302</v>
      </c>
      <c r="Y135" s="4">
        <v>7.8920000000000003</v>
      </c>
      <c r="Z135" s="8">
        <v>5248</v>
      </c>
      <c r="AA135" s="8">
        <v>5270</v>
      </c>
      <c r="AB135" s="4">
        <v>5270</v>
      </c>
      <c r="AC135" s="4">
        <v>0.06</v>
      </c>
      <c r="AD135" s="5">
        <v>0.115</v>
      </c>
      <c r="AE135" s="16">
        <v>0.08</v>
      </c>
      <c r="AF135" s="4">
        <v>-0.13667000000000001</v>
      </c>
      <c r="AG135" s="4">
        <v>5.833E-2</v>
      </c>
      <c r="AH135" s="4">
        <v>1.94</v>
      </c>
      <c r="AI135" s="4">
        <v>1.6821200000000001</v>
      </c>
      <c r="AJ135" s="4">
        <v>-4.6929999999999999E-2</v>
      </c>
      <c r="AK135" s="4">
        <v>-2.052E-2</v>
      </c>
      <c r="AL135" s="4">
        <v>0</v>
      </c>
      <c r="AM135" s="4">
        <v>0</v>
      </c>
      <c r="AN135" s="4">
        <v>3.0430000000000001</v>
      </c>
      <c r="AO135" s="5">
        <f t="shared" si="37"/>
        <v>0.99582542694497156</v>
      </c>
      <c r="AP135" s="8">
        <f t="shared" si="38"/>
        <v>22</v>
      </c>
      <c r="AQ135" s="6">
        <f t="shared" si="32"/>
        <v>0.11764705882352941</v>
      </c>
      <c r="AR135" s="5">
        <f t="shared" si="39"/>
        <v>1</v>
      </c>
      <c r="AS135" s="5">
        <f t="shared" si="40"/>
        <v>7.4500507958008805E-2</v>
      </c>
      <c r="AT135" s="5">
        <f t="shared" ref="AT135:AT155" si="43">AVERAGE(AU131:AU135)</f>
        <v>-1.5425940504415254</v>
      </c>
      <c r="AU135" s="5">
        <f t="shared" si="42"/>
        <v>-8.3963056255247109E-2</v>
      </c>
      <c r="AV135" s="4">
        <f t="shared" si="33"/>
        <v>0</v>
      </c>
      <c r="AW135" s="4">
        <f t="shared" si="34"/>
        <v>0</v>
      </c>
      <c r="AX135" s="4">
        <f t="shared" si="35"/>
        <v>0</v>
      </c>
      <c r="AY135" s="4">
        <f t="shared" si="36"/>
        <v>5</v>
      </c>
      <c r="AZ135" s="4">
        <f t="shared" si="41"/>
        <v>0</v>
      </c>
    </row>
    <row r="136" spans="1:52" x14ac:dyDescent="0.3">
      <c r="A136" s="4" t="s">
        <v>52</v>
      </c>
      <c r="B136" s="4" t="s">
        <v>61</v>
      </c>
      <c r="C136" s="4" t="s">
        <v>54</v>
      </c>
      <c r="D136" s="4" t="s">
        <v>57</v>
      </c>
      <c r="E136" s="4" t="s">
        <v>55</v>
      </c>
      <c r="F136" s="4">
        <v>2</v>
      </c>
      <c r="G136" s="4">
        <v>0.04</v>
      </c>
      <c r="H136" s="4" t="b">
        <v>0</v>
      </c>
      <c r="I136" s="4" t="b">
        <v>0</v>
      </c>
      <c r="J136" s="4" t="b">
        <v>0</v>
      </c>
      <c r="K136" s="4">
        <v>2.9529999999999998</v>
      </c>
      <c r="L136" s="4">
        <v>5.1999999999999998E-2</v>
      </c>
      <c r="M136" s="4">
        <v>-5.8000000000000003E-2</v>
      </c>
      <c r="N136" s="4">
        <v>-254.96</v>
      </c>
      <c r="O136" s="4">
        <v>-8.5999999999999993E-2</v>
      </c>
      <c r="P136" s="4">
        <v>5.0000000000000001E-3</v>
      </c>
      <c r="Q136" s="5">
        <v>1E-3</v>
      </c>
      <c r="R136" s="5">
        <v>0.18</v>
      </c>
      <c r="S136" s="9">
        <v>1897.4970000000001</v>
      </c>
      <c r="T136" s="4">
        <v>1838.375</v>
      </c>
      <c r="U136" s="4">
        <v>1.54</v>
      </c>
      <c r="V136" s="4">
        <v>2.1429999999999998</v>
      </c>
      <c r="W136" s="4">
        <v>1.34</v>
      </c>
      <c r="X136" s="4">
        <v>3.4380000000000002</v>
      </c>
      <c r="Y136" s="4">
        <v>8.4629999999999992</v>
      </c>
      <c r="Z136" s="8">
        <v>5248</v>
      </c>
      <c r="AA136" s="8">
        <v>5270</v>
      </c>
      <c r="AB136" s="4">
        <v>5270</v>
      </c>
      <c r="AC136" s="4">
        <v>0.06</v>
      </c>
      <c r="AD136" s="5">
        <v>0.11</v>
      </c>
      <c r="AE136" s="16">
        <v>0.08</v>
      </c>
      <c r="AF136" s="4">
        <v>-1.553E-2</v>
      </c>
      <c r="AG136" s="4">
        <v>0.17446999999999999</v>
      </c>
      <c r="AH136" s="4">
        <v>0.82</v>
      </c>
      <c r="AI136" s="4">
        <v>1.09887</v>
      </c>
      <c r="AJ136" s="4">
        <v>-4.811E-2</v>
      </c>
      <c r="AK136" s="4">
        <v>-3.0190000000000002E-2</v>
      </c>
      <c r="AL136" s="4">
        <v>0</v>
      </c>
      <c r="AM136" s="4">
        <v>0</v>
      </c>
      <c r="AN136" s="4">
        <v>1.5449999999999999</v>
      </c>
      <c r="AO136" s="5">
        <f t="shared" si="37"/>
        <v>0.99582542694497156</v>
      </c>
      <c r="AP136" s="8">
        <f t="shared" si="38"/>
        <v>22</v>
      </c>
      <c r="AQ136" s="6">
        <f t="shared" si="32"/>
        <v>0.11764705882352941</v>
      </c>
      <c r="AR136" s="5">
        <f t="shared" si="39"/>
        <v>1</v>
      </c>
      <c r="AS136" s="5">
        <f t="shared" si="40"/>
        <v>7.4500507958008805E-2</v>
      </c>
      <c r="AT136" s="5">
        <f t="shared" si="43"/>
        <v>-1.1078114417458755</v>
      </c>
      <c r="AU136" s="5">
        <f t="shared" si="42"/>
        <v>0</v>
      </c>
      <c r="AV136" s="4">
        <f t="shared" si="33"/>
        <v>0</v>
      </c>
      <c r="AW136" s="4">
        <f t="shared" si="34"/>
        <v>0</v>
      </c>
      <c r="AX136" s="4">
        <f t="shared" si="35"/>
        <v>0</v>
      </c>
      <c r="AY136" s="4">
        <f t="shared" si="36"/>
        <v>5</v>
      </c>
      <c r="AZ136" s="4">
        <f t="shared" si="41"/>
        <v>0</v>
      </c>
    </row>
    <row r="137" spans="1:52" x14ac:dyDescent="0.3">
      <c r="A137" s="4" t="s">
        <v>52</v>
      </c>
      <c r="B137" s="4" t="s">
        <v>61</v>
      </c>
      <c r="C137" s="4" t="s">
        <v>54</v>
      </c>
      <c r="D137" s="4" t="s">
        <v>57</v>
      </c>
      <c r="E137" s="4" t="s">
        <v>55</v>
      </c>
      <c r="F137" s="4">
        <v>2</v>
      </c>
      <c r="G137" s="4">
        <v>0.04</v>
      </c>
      <c r="H137" s="4" t="b">
        <v>0</v>
      </c>
      <c r="I137" s="4" t="b">
        <v>0</v>
      </c>
      <c r="J137" s="4" t="b">
        <v>0</v>
      </c>
      <c r="K137" s="4">
        <v>2.9529999999999998</v>
      </c>
      <c r="L137" s="4">
        <v>5.1999999999999998E-2</v>
      </c>
      <c r="M137" s="4">
        <v>-5.8000000000000003E-2</v>
      </c>
      <c r="N137" s="4">
        <v>0</v>
      </c>
      <c r="O137" s="4">
        <v>0</v>
      </c>
      <c r="P137" s="4">
        <v>5.0000000000000001E-3</v>
      </c>
      <c r="Q137" s="5">
        <v>1E-3</v>
      </c>
      <c r="R137" s="5">
        <v>0.18</v>
      </c>
      <c r="S137" s="9">
        <v>1910.0119999999999</v>
      </c>
      <c r="T137" s="4">
        <v>1838.375</v>
      </c>
      <c r="U137" s="4">
        <v>1.478</v>
      </c>
      <c r="V137" s="4">
        <v>2.2509999999999999</v>
      </c>
      <c r="W137" s="4">
        <v>2.149</v>
      </c>
      <c r="X137" s="4">
        <v>4.1399999999999997</v>
      </c>
      <c r="Y137" s="4">
        <v>10.021000000000001</v>
      </c>
      <c r="Z137" s="8">
        <v>5251</v>
      </c>
      <c r="AA137" s="8">
        <v>5270</v>
      </c>
      <c r="AB137" s="4">
        <v>5270</v>
      </c>
      <c r="AC137" s="4">
        <v>0.06</v>
      </c>
      <c r="AD137" s="5">
        <v>0.11</v>
      </c>
      <c r="AE137" s="16">
        <v>0.08</v>
      </c>
      <c r="AF137" s="4">
        <v>0</v>
      </c>
      <c r="AG137" s="4">
        <v>0.19</v>
      </c>
      <c r="AH137" s="4">
        <v>0.4</v>
      </c>
      <c r="AI137" s="4">
        <v>0.58370999999999995</v>
      </c>
      <c r="AJ137" s="4">
        <v>-4.1160000000000002E-2</v>
      </c>
      <c r="AK137" s="4">
        <v>-3.823E-2</v>
      </c>
      <c r="AL137" s="4">
        <v>0</v>
      </c>
      <c r="AM137" s="4">
        <v>0</v>
      </c>
      <c r="AN137" s="4">
        <v>1.3009999999999999</v>
      </c>
      <c r="AO137" s="5">
        <f t="shared" si="37"/>
        <v>0.99639468690702082</v>
      </c>
      <c r="AP137" s="8">
        <f t="shared" si="38"/>
        <v>19</v>
      </c>
      <c r="AQ137" s="6">
        <f t="shared" si="32"/>
        <v>0.10160427807486631</v>
      </c>
      <c r="AR137" s="5">
        <f t="shared" si="39"/>
        <v>1</v>
      </c>
      <c r="AS137" s="5">
        <f t="shared" si="40"/>
        <v>6.4341347781916691E-2</v>
      </c>
      <c r="AT137" s="5">
        <f t="shared" si="43"/>
        <v>-0.59194048177226299</v>
      </c>
      <c r="AU137" s="5">
        <f t="shared" si="42"/>
        <v>-0.2397123451857795</v>
      </c>
      <c r="AV137" s="4">
        <f t="shared" si="33"/>
        <v>0</v>
      </c>
      <c r="AW137" s="4">
        <f t="shared" si="34"/>
        <v>0</v>
      </c>
      <c r="AX137" s="4">
        <f t="shared" si="35"/>
        <v>0</v>
      </c>
      <c r="AY137" s="4">
        <f t="shared" si="36"/>
        <v>5</v>
      </c>
      <c r="AZ137" s="4">
        <f t="shared" si="41"/>
        <v>0</v>
      </c>
    </row>
    <row r="138" spans="1:52" x14ac:dyDescent="0.3">
      <c r="A138" s="4" t="s">
        <v>52</v>
      </c>
      <c r="B138" s="4" t="s">
        <v>61</v>
      </c>
      <c r="C138" s="4" t="s">
        <v>54</v>
      </c>
      <c r="D138" s="4" t="s">
        <v>57</v>
      </c>
      <c r="E138" s="4" t="s">
        <v>55</v>
      </c>
      <c r="F138" s="4">
        <v>2</v>
      </c>
      <c r="G138" s="4">
        <v>0.04</v>
      </c>
      <c r="H138" s="4" t="b">
        <v>0</v>
      </c>
      <c r="I138" s="4" t="b">
        <v>0</v>
      </c>
      <c r="J138" s="4" t="b">
        <v>0</v>
      </c>
      <c r="K138" s="4">
        <v>2.9529999999999998</v>
      </c>
      <c r="L138" s="4">
        <v>5.1999999999999998E-2</v>
      </c>
      <c r="M138" s="4">
        <v>-5.8000000000000003E-2</v>
      </c>
      <c r="N138" s="4">
        <v>-89.531000000000006</v>
      </c>
      <c r="O138" s="4">
        <v>-0.21199999999999999</v>
      </c>
      <c r="P138" s="4">
        <v>5.0000000000000001E-3</v>
      </c>
      <c r="Q138" s="5">
        <v>1E-3</v>
      </c>
      <c r="R138" s="5">
        <v>0.18</v>
      </c>
      <c r="S138" s="9">
        <v>1924.2719999999999</v>
      </c>
      <c r="T138" s="4">
        <v>1838.375</v>
      </c>
      <c r="U138" s="4">
        <v>1.4810000000000001</v>
      </c>
      <c r="V138" s="4">
        <v>2.2200000000000002</v>
      </c>
      <c r="W138" s="4">
        <v>1.2929999999999999</v>
      </c>
      <c r="X138" s="4">
        <v>4.4539999999999997</v>
      </c>
      <c r="Y138" s="4">
        <v>9.4499999999999993</v>
      </c>
      <c r="Z138" s="8">
        <v>5257</v>
      </c>
      <c r="AA138" s="8">
        <v>5270</v>
      </c>
      <c r="AB138" s="4">
        <v>5270</v>
      </c>
      <c r="AC138" s="4">
        <v>0.06</v>
      </c>
      <c r="AD138" s="5">
        <v>9.5000000000000001E-2</v>
      </c>
      <c r="AE138" s="16">
        <v>0.08</v>
      </c>
      <c r="AF138" s="4">
        <v>-3.8199999999999998E-2</v>
      </c>
      <c r="AG138" s="4">
        <v>0.1368</v>
      </c>
      <c r="AH138" s="4">
        <v>0.22</v>
      </c>
      <c r="AI138" s="4">
        <v>0.30457000000000001</v>
      </c>
      <c r="AJ138" s="4">
        <v>-1.958E-2</v>
      </c>
      <c r="AK138" s="4">
        <v>-3.7879999999999997E-2</v>
      </c>
      <c r="AL138" s="4">
        <v>0</v>
      </c>
      <c r="AM138" s="4">
        <v>0</v>
      </c>
      <c r="AN138" s="4">
        <v>1.0489999999999999</v>
      </c>
      <c r="AO138" s="5">
        <f t="shared" si="37"/>
        <v>0.99753320683111957</v>
      </c>
      <c r="AP138" s="8">
        <f t="shared" si="38"/>
        <v>13</v>
      </c>
      <c r="AQ138" s="6">
        <f t="shared" si="32"/>
        <v>6.9518716577540107E-2</v>
      </c>
      <c r="AR138" s="5">
        <f t="shared" si="39"/>
        <v>1</v>
      </c>
      <c r="AS138" s="5">
        <f t="shared" si="40"/>
        <v>4.4023027429732471E-2</v>
      </c>
      <c r="AT138" s="5">
        <f t="shared" si="43"/>
        <v>-0.30440754827334598</v>
      </c>
      <c r="AU138" s="5">
        <f t="shared" si="42"/>
        <v>-0.42075736325385721</v>
      </c>
      <c r="AV138" s="4">
        <f t="shared" si="33"/>
        <v>0</v>
      </c>
      <c r="AW138" s="4">
        <f t="shared" si="34"/>
        <v>0</v>
      </c>
      <c r="AX138" s="4">
        <f t="shared" si="35"/>
        <v>0</v>
      </c>
      <c r="AY138" s="4">
        <f t="shared" si="36"/>
        <v>5</v>
      </c>
      <c r="AZ138" s="4">
        <f t="shared" si="41"/>
        <v>0</v>
      </c>
    </row>
    <row r="139" spans="1:52" x14ac:dyDescent="0.3">
      <c r="A139" s="4" t="s">
        <v>52</v>
      </c>
      <c r="B139" s="4" t="s">
        <v>61</v>
      </c>
      <c r="C139" s="4" t="s">
        <v>54</v>
      </c>
      <c r="D139" s="4" t="s">
        <v>57</v>
      </c>
      <c r="E139" s="4" t="s">
        <v>55</v>
      </c>
      <c r="F139" s="4">
        <v>2</v>
      </c>
      <c r="G139" s="4">
        <v>0.04</v>
      </c>
      <c r="H139" s="4" t="b">
        <v>0</v>
      </c>
      <c r="I139" s="4" t="b">
        <v>0</v>
      </c>
      <c r="J139" s="4" t="b">
        <v>0</v>
      </c>
      <c r="K139" s="4">
        <v>2.9529999999999998</v>
      </c>
      <c r="L139" s="4">
        <v>5.1999999999999998E-2</v>
      </c>
      <c r="M139" s="4">
        <v>-5.8000000000000003E-2</v>
      </c>
      <c r="N139" s="4">
        <v>-29.533000000000001</v>
      </c>
      <c r="O139" s="4">
        <v>-0.44</v>
      </c>
      <c r="P139" s="4">
        <v>5.0000000000000001E-3</v>
      </c>
      <c r="Q139" s="5">
        <v>1E-3</v>
      </c>
      <c r="R139" s="5">
        <v>0.18</v>
      </c>
      <c r="S139" s="9">
        <v>1938.271</v>
      </c>
      <c r="T139" s="4">
        <v>1838.375</v>
      </c>
      <c r="U139" s="4">
        <v>1.393</v>
      </c>
      <c r="V139" s="4">
        <v>2.0569999999999999</v>
      </c>
      <c r="W139" s="4">
        <v>1.411</v>
      </c>
      <c r="X139" s="4">
        <v>3.6560000000000001</v>
      </c>
      <c r="Y139" s="4">
        <v>8.5210000000000008</v>
      </c>
      <c r="Z139" s="8">
        <v>5263</v>
      </c>
      <c r="AA139" s="8">
        <v>5270</v>
      </c>
      <c r="AB139" s="4">
        <v>5270</v>
      </c>
      <c r="AC139" s="4">
        <v>0.06</v>
      </c>
      <c r="AD139" s="5">
        <v>6.5000000000000002E-2</v>
      </c>
      <c r="AE139" s="16">
        <v>0.08</v>
      </c>
      <c r="AF139" s="4">
        <v>-7.9229999999999995E-2</v>
      </c>
      <c r="AG139" s="4">
        <v>6.5769999999999995E-2</v>
      </c>
      <c r="AH139" s="4">
        <v>0.3</v>
      </c>
      <c r="AI139" s="4">
        <v>0.24687999999999999</v>
      </c>
      <c r="AJ139" s="4">
        <v>-4.1200000000000004E-3</v>
      </c>
      <c r="AK139" s="4">
        <v>-3.0769999999999999E-2</v>
      </c>
      <c r="AL139" s="4">
        <v>0</v>
      </c>
      <c r="AM139" s="4">
        <v>0</v>
      </c>
      <c r="AN139" s="4">
        <v>0.42199999999999999</v>
      </c>
      <c r="AO139" s="5">
        <f t="shared" si="37"/>
        <v>0.9986717267552182</v>
      </c>
      <c r="AP139" s="8">
        <f t="shared" si="38"/>
        <v>7</v>
      </c>
      <c r="AQ139" s="6">
        <f t="shared" si="32"/>
        <v>3.7433155080213901E-2</v>
      </c>
      <c r="AR139" s="5">
        <f t="shared" si="39"/>
        <v>1</v>
      </c>
      <c r="AS139" s="5">
        <f t="shared" si="40"/>
        <v>2.3704707077548254E-2</v>
      </c>
      <c r="AT139" s="5">
        <f t="shared" si="43"/>
        <v>-0.23460696153959093</v>
      </c>
      <c r="AU139" s="5">
        <f t="shared" si="42"/>
        <v>-0.42860204300307092</v>
      </c>
      <c r="AV139" s="4">
        <f t="shared" si="33"/>
        <v>0</v>
      </c>
      <c r="AW139" s="4">
        <f t="shared" si="34"/>
        <v>0</v>
      </c>
      <c r="AX139" s="4">
        <f t="shared" si="35"/>
        <v>0</v>
      </c>
      <c r="AY139" s="4">
        <f t="shared" si="36"/>
        <v>5</v>
      </c>
      <c r="AZ139" s="4">
        <f t="shared" si="41"/>
        <v>0</v>
      </c>
    </row>
    <row r="140" spans="1:52" x14ac:dyDescent="0.3">
      <c r="A140" s="4" t="s">
        <v>62</v>
      </c>
      <c r="B140" s="4" t="s">
        <v>61</v>
      </c>
      <c r="C140" s="4" t="s">
        <v>54</v>
      </c>
      <c r="D140" s="4" t="s">
        <v>57</v>
      </c>
      <c r="E140" s="4" t="s">
        <v>55</v>
      </c>
      <c r="F140" s="4">
        <v>2</v>
      </c>
      <c r="G140" s="4">
        <v>0.04</v>
      </c>
      <c r="H140" s="4" t="b">
        <v>0</v>
      </c>
      <c r="I140" s="4" t="b">
        <v>1</v>
      </c>
      <c r="J140" s="4" t="b">
        <v>0</v>
      </c>
      <c r="K140" s="4">
        <v>2.9529999999999998</v>
      </c>
      <c r="L140" s="4">
        <v>5.1999999999999998E-2</v>
      </c>
      <c r="M140" s="4">
        <v>-5.8000000000000003E-2</v>
      </c>
      <c r="N140" s="4">
        <v>-15.252000000000001</v>
      </c>
      <c r="O140" s="4">
        <v>-0.45900000000000002</v>
      </c>
      <c r="P140" s="4">
        <v>5.0000000000000001E-3</v>
      </c>
      <c r="Q140" s="5">
        <v>1E-3</v>
      </c>
      <c r="R140" s="5">
        <v>0.18</v>
      </c>
      <c r="S140" s="9">
        <v>1951.9169999999999</v>
      </c>
      <c r="T140" s="4">
        <v>1838.375</v>
      </c>
      <c r="U140" s="4">
        <v>1.5129999999999999</v>
      </c>
      <c r="V140" s="4">
        <v>2.2189999999999999</v>
      </c>
      <c r="W140" s="4">
        <v>1.37</v>
      </c>
      <c r="X140" s="4">
        <v>3.3809999999999998</v>
      </c>
      <c r="Y140" s="4">
        <v>8.4849999999999994</v>
      </c>
      <c r="Z140" s="8">
        <v>5269</v>
      </c>
      <c r="AA140" s="8">
        <v>5270</v>
      </c>
      <c r="AB140" s="4">
        <v>5270</v>
      </c>
      <c r="AC140" s="4">
        <v>0.06</v>
      </c>
      <c r="AD140" s="5">
        <v>3.5000000000000003E-2</v>
      </c>
      <c r="AE140" s="16">
        <v>7.6999999999999999E-2</v>
      </c>
      <c r="AF140" s="4">
        <v>-8.2610000000000003E-2</v>
      </c>
      <c r="AG140" s="4">
        <v>2.9389999999999999E-2</v>
      </c>
      <c r="AH140" s="4">
        <v>0.38</v>
      </c>
      <c r="AI140" s="4">
        <v>0.31558000000000003</v>
      </c>
      <c r="AJ140" s="4">
        <v>5.0299999999999997E-3</v>
      </c>
      <c r="AK140" s="4">
        <v>-2.0539999999999999E-2</v>
      </c>
      <c r="AL140" s="4">
        <v>0</v>
      </c>
      <c r="AM140" s="4">
        <v>0</v>
      </c>
      <c r="AN140" s="4">
        <v>0.247</v>
      </c>
      <c r="AO140" s="5">
        <f t="shared" si="37"/>
        <v>0.99981024667931684</v>
      </c>
      <c r="AP140" s="8">
        <f t="shared" si="38"/>
        <v>1</v>
      </c>
      <c r="AQ140" s="6">
        <f t="shared" si="32"/>
        <v>5.3475935828877002E-3</v>
      </c>
      <c r="AR140" s="5">
        <f t="shared" si="39"/>
        <v>1</v>
      </c>
      <c r="AS140" s="5">
        <f t="shared" si="40"/>
        <v>3.3863867253640365E-3</v>
      </c>
      <c r="AT140" s="5">
        <f t="shared" si="43"/>
        <v>-0.3057522075360869</v>
      </c>
      <c r="AU140" s="5">
        <f t="shared" si="42"/>
        <v>-0.43968928623772668</v>
      </c>
      <c r="AV140" s="4">
        <f t="shared" si="33"/>
        <v>0</v>
      </c>
      <c r="AW140" s="4">
        <f t="shared" si="34"/>
        <v>0</v>
      </c>
      <c r="AX140" s="4">
        <f t="shared" si="35"/>
        <v>0</v>
      </c>
      <c r="AY140" s="4">
        <f t="shared" si="36"/>
        <v>5</v>
      </c>
      <c r="AZ140" s="4">
        <f t="shared" si="41"/>
        <v>5</v>
      </c>
    </row>
    <row r="141" spans="1:52" x14ac:dyDescent="0.3">
      <c r="A141" s="4" t="s">
        <v>52</v>
      </c>
      <c r="B141" s="4" t="s">
        <v>61</v>
      </c>
      <c r="C141" s="4" t="s">
        <v>54</v>
      </c>
      <c r="D141" s="4" t="s">
        <v>57</v>
      </c>
      <c r="E141" s="4" t="s">
        <v>55</v>
      </c>
      <c r="F141" s="4">
        <v>2</v>
      </c>
      <c r="G141" s="4">
        <v>0.04</v>
      </c>
      <c r="H141" s="4" t="b">
        <v>0</v>
      </c>
      <c r="I141" s="4" t="b">
        <v>1</v>
      </c>
      <c r="J141" s="4" t="b">
        <v>0</v>
      </c>
      <c r="K141" s="4">
        <v>2.9529999999999998</v>
      </c>
      <c r="L141" s="4">
        <v>5.1999999999999998E-2</v>
      </c>
      <c r="M141" s="4">
        <v>-5.8000000000000003E-2</v>
      </c>
      <c r="N141" s="4">
        <v>-2.2669999999999999</v>
      </c>
      <c r="O141" s="4">
        <v>-0.441</v>
      </c>
      <c r="P141" s="4">
        <v>5.0000000000000001E-3</v>
      </c>
      <c r="Q141" s="5">
        <v>1E-3</v>
      </c>
      <c r="R141" s="5">
        <v>0.18</v>
      </c>
      <c r="S141" s="9">
        <v>1965.1469999999999</v>
      </c>
      <c r="T141" s="4">
        <v>1838.375</v>
      </c>
      <c r="U141" s="4">
        <v>1.387</v>
      </c>
      <c r="V141" s="4">
        <v>2.101</v>
      </c>
      <c r="W141" s="4">
        <v>1.3280000000000001</v>
      </c>
      <c r="X141" s="4">
        <v>3.6059999999999999</v>
      </c>
      <c r="Y141" s="4">
        <v>8.4239999999999995</v>
      </c>
      <c r="Z141" s="8">
        <v>5274</v>
      </c>
      <c r="AA141" s="8">
        <v>5270</v>
      </c>
      <c r="AB141" s="4">
        <v>5270</v>
      </c>
      <c r="AC141" s="4">
        <v>0.06</v>
      </c>
      <c r="AD141" s="5">
        <v>5.0000000000000001E-3</v>
      </c>
      <c r="AE141" s="16">
        <v>6.8000000000000005E-2</v>
      </c>
      <c r="AF141" s="4">
        <v>-7.9399999999999998E-2</v>
      </c>
      <c r="AG141" s="4">
        <v>-6.4000000000000003E-3</v>
      </c>
      <c r="AH141" s="4">
        <v>0.42</v>
      </c>
      <c r="AI141" s="4">
        <v>0.38433</v>
      </c>
      <c r="AJ141" s="4">
        <v>5.1999999999999998E-3</v>
      </c>
      <c r="AK141" s="4">
        <v>-1.056E-2</v>
      </c>
      <c r="AL141" s="4">
        <v>0</v>
      </c>
      <c r="AM141" s="4">
        <v>0</v>
      </c>
      <c r="AN141" s="4">
        <v>0.14199999999999999</v>
      </c>
      <c r="AO141" s="5">
        <f t="shared" si="37"/>
        <v>1.0007590132827324</v>
      </c>
      <c r="AP141" s="8">
        <f t="shared" si="38"/>
        <v>-4</v>
      </c>
      <c r="AQ141" s="6">
        <f t="shared" si="32"/>
        <v>-2.1390374331550801E-2</v>
      </c>
      <c r="AR141" s="5">
        <f t="shared" si="39"/>
        <v>1</v>
      </c>
      <c r="AS141" s="5">
        <f t="shared" si="40"/>
        <v>-1.3545546901456146E-2</v>
      </c>
      <c r="AT141" s="5">
        <f t="shared" si="43"/>
        <v>-0.38133799740759089</v>
      </c>
      <c r="AU141" s="5">
        <f t="shared" si="42"/>
        <v>-0.37792894935752025</v>
      </c>
      <c r="AV141" s="4">
        <f t="shared" si="33"/>
        <v>0</v>
      </c>
      <c r="AW141" s="4">
        <f t="shared" si="34"/>
        <v>0</v>
      </c>
      <c r="AX141" s="4">
        <f t="shared" si="35"/>
        <v>0</v>
      </c>
      <c r="AY141" s="4">
        <f t="shared" si="36"/>
        <v>5</v>
      </c>
      <c r="AZ141" s="4">
        <f t="shared" si="41"/>
        <v>5</v>
      </c>
    </row>
    <row r="142" spans="1:52" x14ac:dyDescent="0.3">
      <c r="A142" s="4" t="s">
        <v>52</v>
      </c>
      <c r="B142" s="4" t="s">
        <v>61</v>
      </c>
      <c r="C142" s="4" t="s">
        <v>54</v>
      </c>
      <c r="D142" s="4" t="s">
        <v>63</v>
      </c>
      <c r="E142" s="4" t="s">
        <v>55</v>
      </c>
      <c r="F142" s="4">
        <v>2</v>
      </c>
      <c r="G142" s="4">
        <v>0.04</v>
      </c>
      <c r="H142" s="4" t="b">
        <v>0</v>
      </c>
      <c r="I142" s="4" t="b">
        <v>1</v>
      </c>
      <c r="J142" s="4" t="b">
        <v>0</v>
      </c>
      <c r="K142" s="4">
        <v>2.9529999999999998</v>
      </c>
      <c r="L142" s="4">
        <v>5.1999999999999998E-2</v>
      </c>
      <c r="M142" s="4">
        <v>-5.8000000000000003E-2</v>
      </c>
      <c r="N142" s="4">
        <v>10.536</v>
      </c>
      <c r="O142" s="4">
        <v>-0.38</v>
      </c>
      <c r="P142" s="4">
        <v>5.0000000000000001E-3</v>
      </c>
      <c r="Q142" s="5">
        <v>1E-3</v>
      </c>
      <c r="R142" s="5">
        <v>0.18</v>
      </c>
      <c r="S142" s="9">
        <v>1978.2829999999999</v>
      </c>
      <c r="T142" s="4">
        <v>1838.375</v>
      </c>
      <c r="U142" s="4">
        <v>1.329</v>
      </c>
      <c r="V142" s="4">
        <v>2.0470000000000002</v>
      </c>
      <c r="W142" s="4">
        <v>1.351</v>
      </c>
      <c r="X142" s="4">
        <v>3.4590000000000001</v>
      </c>
      <c r="Y142" s="4">
        <v>8.1880000000000006</v>
      </c>
      <c r="Z142" s="8">
        <v>5277</v>
      </c>
      <c r="AA142" s="8">
        <v>5270</v>
      </c>
      <c r="AB142" s="4">
        <v>5270</v>
      </c>
      <c r="AC142" s="4">
        <v>0.06</v>
      </c>
      <c r="AD142" s="5">
        <v>-0.02</v>
      </c>
      <c r="AE142" s="16">
        <v>5.3999999999999999E-2</v>
      </c>
      <c r="AF142" s="4">
        <v>6.8339999999999998E-2</v>
      </c>
      <c r="AG142" s="4">
        <v>0.10234</v>
      </c>
      <c r="AH142" s="4">
        <v>0.38</v>
      </c>
      <c r="AI142" s="4">
        <v>0.38084000000000001</v>
      </c>
      <c r="AJ142" s="4">
        <v>-2.7E-4</v>
      </c>
      <c r="AK142" s="4">
        <v>-2.97E-3</v>
      </c>
      <c r="AL142" s="4">
        <v>0</v>
      </c>
      <c r="AM142" s="4">
        <v>0</v>
      </c>
      <c r="AN142" s="4">
        <v>0.48799999999999999</v>
      </c>
      <c r="AO142" s="5">
        <f t="shared" si="37"/>
        <v>1.0013282732447817</v>
      </c>
      <c r="AP142" s="8">
        <f t="shared" si="38"/>
        <v>-7</v>
      </c>
      <c r="AQ142" s="6">
        <f t="shared" si="32"/>
        <v>-3.7433155080213901E-2</v>
      </c>
      <c r="AR142" s="5">
        <f t="shared" si="39"/>
        <v>1</v>
      </c>
      <c r="AS142" s="5">
        <f t="shared" si="40"/>
        <v>-2.3704707077548254E-2</v>
      </c>
      <c r="AT142" s="5">
        <f t="shared" si="43"/>
        <v>-0.37907153324254228</v>
      </c>
      <c r="AU142" s="5">
        <f t="shared" si="42"/>
        <v>-0.2283800243605365</v>
      </c>
      <c r="AV142" s="4">
        <f t="shared" si="33"/>
        <v>0</v>
      </c>
      <c r="AW142" s="4">
        <f t="shared" si="34"/>
        <v>0</v>
      </c>
      <c r="AX142" s="4">
        <f t="shared" si="35"/>
        <v>0</v>
      </c>
      <c r="AY142" s="4">
        <f t="shared" si="36"/>
        <v>5</v>
      </c>
      <c r="AZ142" s="4">
        <f t="shared" si="41"/>
        <v>0</v>
      </c>
    </row>
    <row r="143" spans="1:52" x14ac:dyDescent="0.3">
      <c r="A143" s="4" t="s">
        <v>52</v>
      </c>
      <c r="B143" s="4" t="s">
        <v>61</v>
      </c>
      <c r="C143" s="4" t="s">
        <v>54</v>
      </c>
      <c r="D143" s="4" t="s">
        <v>63</v>
      </c>
      <c r="E143" s="4" t="s">
        <v>55</v>
      </c>
      <c r="F143" s="4">
        <v>2</v>
      </c>
      <c r="G143" s="4">
        <v>0.04</v>
      </c>
      <c r="H143" s="4" t="b">
        <v>0</v>
      </c>
      <c r="I143" s="4" t="b">
        <v>1</v>
      </c>
      <c r="J143" s="4" t="b">
        <v>0</v>
      </c>
      <c r="K143" s="4">
        <v>2.9529999999999998</v>
      </c>
      <c r="L143" s="4">
        <v>5.1999999999999998E-2</v>
      </c>
      <c r="M143" s="4">
        <v>-5.8000000000000003E-2</v>
      </c>
      <c r="N143" s="4">
        <v>30.100999999999999</v>
      </c>
      <c r="O143" s="4">
        <v>-0.23300000000000001</v>
      </c>
      <c r="P143" s="4">
        <v>5.0000000000000001E-3</v>
      </c>
      <c r="Q143" s="5">
        <v>1E-3</v>
      </c>
      <c r="R143" s="5">
        <v>0.18</v>
      </c>
      <c r="S143" s="9">
        <v>1992.816</v>
      </c>
      <c r="T143" s="4">
        <v>1838.375</v>
      </c>
      <c r="U143" s="4">
        <v>1.4430000000000001</v>
      </c>
      <c r="V143" s="4">
        <v>2.08</v>
      </c>
      <c r="W143" s="4">
        <v>1.4390000000000001</v>
      </c>
      <c r="X143" s="4">
        <v>4.05</v>
      </c>
      <c r="Y143" s="4">
        <v>9.0129999999999999</v>
      </c>
      <c r="Z143" s="8">
        <v>5281</v>
      </c>
      <c r="AA143" s="8">
        <v>5270</v>
      </c>
      <c r="AB143" s="4">
        <v>5270</v>
      </c>
      <c r="AC143" s="4">
        <v>0.06</v>
      </c>
      <c r="AD143" s="5">
        <v>-3.5000000000000003E-2</v>
      </c>
      <c r="AE143" s="16">
        <v>3.6999999999999998E-2</v>
      </c>
      <c r="AF143" s="4">
        <v>4.1860000000000001E-2</v>
      </c>
      <c r="AG143" s="4">
        <v>4.3860000000000003E-2</v>
      </c>
      <c r="AH143" s="4">
        <v>0.32</v>
      </c>
      <c r="AI143" s="4">
        <v>0.35014000000000001</v>
      </c>
      <c r="AJ143" s="4">
        <v>-2.1099999999999999E-3</v>
      </c>
      <c r="AK143" s="4">
        <v>6.6E-4</v>
      </c>
      <c r="AL143" s="4">
        <v>0</v>
      </c>
      <c r="AM143" s="4">
        <v>0</v>
      </c>
      <c r="AN143" s="4">
        <v>0.38200000000000001</v>
      </c>
      <c r="AO143" s="5">
        <f t="shared" si="37"/>
        <v>1.0020872865275143</v>
      </c>
      <c r="AP143" s="8">
        <f t="shared" si="38"/>
        <v>-11</v>
      </c>
      <c r="AQ143" s="6">
        <f t="shared" si="32"/>
        <v>-5.8823529411764705E-2</v>
      </c>
      <c r="AR143" s="5">
        <f t="shared" si="39"/>
        <v>1</v>
      </c>
      <c r="AS143" s="5">
        <f t="shared" si="40"/>
        <v>-3.7250253979004402E-2</v>
      </c>
      <c r="AT143" s="5">
        <f t="shared" si="43"/>
        <v>-0.34996719470035087</v>
      </c>
      <c r="AU143" s="5">
        <f t="shared" si="42"/>
        <v>-0.27523567054289994</v>
      </c>
      <c r="AV143" s="4">
        <f t="shared" si="33"/>
        <v>0</v>
      </c>
      <c r="AW143" s="4">
        <f t="shared" si="34"/>
        <v>0</v>
      </c>
      <c r="AX143" s="4">
        <f t="shared" si="35"/>
        <v>0</v>
      </c>
      <c r="AY143" s="4">
        <f t="shared" si="36"/>
        <v>5</v>
      </c>
      <c r="AZ143" s="4">
        <f t="shared" si="41"/>
        <v>0</v>
      </c>
    </row>
    <row r="144" spans="1:52" x14ac:dyDescent="0.3">
      <c r="A144" s="4" t="s">
        <v>52</v>
      </c>
      <c r="B144" s="4" t="s">
        <v>61</v>
      </c>
      <c r="C144" s="4" t="s">
        <v>54</v>
      </c>
      <c r="D144" s="4" t="s">
        <v>63</v>
      </c>
      <c r="E144" s="4" t="s">
        <v>55</v>
      </c>
      <c r="F144" s="4">
        <v>2</v>
      </c>
      <c r="G144" s="4">
        <v>0.04</v>
      </c>
      <c r="H144" s="4" t="b">
        <v>0</v>
      </c>
      <c r="I144" s="4" t="b">
        <v>1</v>
      </c>
      <c r="J144" s="4" t="b">
        <v>0</v>
      </c>
      <c r="K144" s="4">
        <v>2.9529999999999998</v>
      </c>
      <c r="L144" s="4">
        <v>5.1999999999999998E-2</v>
      </c>
      <c r="M144" s="4">
        <v>-5.8000000000000003E-2</v>
      </c>
      <c r="N144" s="4">
        <v>42.23</v>
      </c>
      <c r="O144" s="4">
        <v>-0.26</v>
      </c>
      <c r="P144" s="4">
        <v>5.0000000000000001E-3</v>
      </c>
      <c r="Q144" s="5">
        <v>1E-3</v>
      </c>
      <c r="R144" s="5">
        <v>0.18</v>
      </c>
      <c r="S144" s="9">
        <v>2006.434</v>
      </c>
      <c r="T144" s="4">
        <v>1838.375</v>
      </c>
      <c r="U144" s="4">
        <v>1.5309999999999999</v>
      </c>
      <c r="V144" s="4">
        <v>2.19</v>
      </c>
      <c r="W144" s="4">
        <v>1.3460000000000001</v>
      </c>
      <c r="X144" s="4">
        <v>3.581</v>
      </c>
      <c r="Y144" s="4">
        <v>8.6509999999999998</v>
      </c>
      <c r="Z144" s="8">
        <v>5284</v>
      </c>
      <c r="AA144" s="8">
        <v>5270</v>
      </c>
      <c r="AB144" s="4">
        <v>5270</v>
      </c>
      <c r="AC144" s="4">
        <v>0.06</v>
      </c>
      <c r="AD144" s="5">
        <v>-5.5E-2</v>
      </c>
      <c r="AE144" s="16">
        <v>1.7000000000000001E-2</v>
      </c>
      <c r="AF144" s="4">
        <v>4.6890000000000001E-2</v>
      </c>
      <c r="AG144" s="4">
        <v>8.8900000000000003E-3</v>
      </c>
      <c r="AH144" s="4">
        <v>0.26</v>
      </c>
      <c r="AI144" s="4">
        <v>0.30808000000000002</v>
      </c>
      <c r="AJ144" s="4">
        <v>-3.0899999999999999E-3</v>
      </c>
      <c r="AK144" s="4">
        <v>8.9999999999999998E-4</v>
      </c>
      <c r="AL144" s="4">
        <v>0</v>
      </c>
      <c r="AM144" s="4">
        <v>0</v>
      </c>
      <c r="AN144" s="4">
        <v>0.215</v>
      </c>
      <c r="AO144" s="5">
        <f t="shared" si="37"/>
        <v>1.0026565464895636</v>
      </c>
      <c r="AP144" s="8">
        <f t="shared" si="38"/>
        <v>-14</v>
      </c>
      <c r="AQ144" s="6">
        <f t="shared" si="32"/>
        <v>-7.4866310160427801E-2</v>
      </c>
      <c r="AR144" s="5">
        <f t="shared" si="39"/>
        <v>1</v>
      </c>
      <c r="AS144" s="5">
        <f t="shared" si="40"/>
        <v>-4.7409414155096509E-2</v>
      </c>
      <c r="AT144" s="5">
        <f t="shared" si="43"/>
        <v>-0.30830611933516061</v>
      </c>
      <c r="AU144" s="5">
        <f t="shared" si="42"/>
        <v>-0.22029666617711952</v>
      </c>
      <c r="AV144" s="4">
        <f t="shared" si="33"/>
        <v>0</v>
      </c>
      <c r="AW144" s="4">
        <f t="shared" si="34"/>
        <v>0</v>
      </c>
      <c r="AX144" s="4">
        <f t="shared" si="35"/>
        <v>0</v>
      </c>
      <c r="AY144" s="4">
        <f t="shared" si="36"/>
        <v>5</v>
      </c>
      <c r="AZ144" s="4">
        <f t="shared" si="41"/>
        <v>0</v>
      </c>
    </row>
    <row r="145" spans="1:52" x14ac:dyDescent="0.3">
      <c r="A145" s="4" t="s">
        <v>52</v>
      </c>
      <c r="B145" s="4" t="s">
        <v>61</v>
      </c>
      <c r="C145" s="4" t="s">
        <v>54</v>
      </c>
      <c r="D145" s="4" t="s">
        <v>63</v>
      </c>
      <c r="E145" s="4" t="s">
        <v>55</v>
      </c>
      <c r="F145" s="4">
        <v>2</v>
      </c>
      <c r="G145" s="4">
        <v>0.04</v>
      </c>
      <c r="H145" s="4" t="b">
        <v>0</v>
      </c>
      <c r="I145" s="4" t="b">
        <v>1</v>
      </c>
      <c r="J145" s="4" t="b">
        <v>0</v>
      </c>
      <c r="K145" s="4">
        <v>2.9529999999999998</v>
      </c>
      <c r="L145" s="4">
        <v>5.1999999999999998E-2</v>
      </c>
      <c r="M145" s="4">
        <v>-5.8000000000000003E-2</v>
      </c>
      <c r="N145" s="4">
        <v>61.905000000000001</v>
      </c>
      <c r="O145" s="4">
        <v>-0.22600000000000001</v>
      </c>
      <c r="P145" s="4">
        <v>5.0000000000000001E-3</v>
      </c>
      <c r="Q145" s="5">
        <v>1E-3</v>
      </c>
      <c r="R145" s="5">
        <v>0.18</v>
      </c>
      <c r="S145" s="9">
        <v>2020.8309999999999</v>
      </c>
      <c r="T145" s="4">
        <v>1838.375</v>
      </c>
      <c r="U145" s="4">
        <v>1.5660000000000001</v>
      </c>
      <c r="V145" s="4">
        <v>2.1930000000000001</v>
      </c>
      <c r="W145" s="4">
        <v>1.38</v>
      </c>
      <c r="X145" s="4">
        <v>4.383</v>
      </c>
      <c r="Y145" s="4">
        <v>9.5250000000000004</v>
      </c>
      <c r="Z145" s="8">
        <v>5286</v>
      </c>
      <c r="AA145" s="8">
        <v>5270</v>
      </c>
      <c r="AB145" s="4">
        <v>5270</v>
      </c>
      <c r="AC145" s="4">
        <v>0.06</v>
      </c>
      <c r="AD145" s="5">
        <v>-7.0000000000000007E-2</v>
      </c>
      <c r="AE145" s="16">
        <v>-3.0000000000000001E-3</v>
      </c>
      <c r="AF145" s="4">
        <v>4.0710000000000003E-2</v>
      </c>
      <c r="AG145" s="4">
        <v>-3.2289999999999999E-2</v>
      </c>
      <c r="AH145" s="4">
        <v>0.2</v>
      </c>
      <c r="AI145" s="4">
        <v>0.24668000000000001</v>
      </c>
      <c r="AJ145" s="4">
        <v>-4.2599999999999999E-3</v>
      </c>
      <c r="AK145" s="4">
        <v>-1E-3</v>
      </c>
      <c r="AL145" s="4">
        <v>0</v>
      </c>
      <c r="AM145" s="4">
        <v>0</v>
      </c>
      <c r="AN145" s="4">
        <v>0.105</v>
      </c>
      <c r="AO145" s="5">
        <f t="shared" si="37"/>
        <v>1.0030360531309297</v>
      </c>
      <c r="AP145" s="8">
        <f t="shared" si="38"/>
        <v>-16</v>
      </c>
      <c r="AQ145" s="6">
        <f t="shared" si="32"/>
        <v>-8.5561497326203204E-2</v>
      </c>
      <c r="AR145" s="5">
        <f t="shared" si="39"/>
        <v>1</v>
      </c>
      <c r="AS145" s="5">
        <f t="shared" si="40"/>
        <v>-5.4182187605824585E-2</v>
      </c>
      <c r="AT145" s="5">
        <f t="shared" si="43"/>
        <v>-0.2481518281083141</v>
      </c>
      <c r="AU145" s="5">
        <f t="shared" si="42"/>
        <v>-0.13891783010349443</v>
      </c>
      <c r="AV145" s="4">
        <f t="shared" si="33"/>
        <v>0</v>
      </c>
      <c r="AW145" s="4">
        <f t="shared" si="34"/>
        <v>0</v>
      </c>
      <c r="AX145" s="4">
        <f t="shared" si="35"/>
        <v>0</v>
      </c>
      <c r="AY145" s="4">
        <f t="shared" si="36"/>
        <v>5</v>
      </c>
      <c r="AZ145" s="4">
        <f t="shared" si="41"/>
        <v>0</v>
      </c>
    </row>
    <row r="146" spans="1:52" x14ac:dyDescent="0.3">
      <c r="A146" s="4" t="s">
        <v>52</v>
      </c>
      <c r="B146" s="4" t="s">
        <v>61</v>
      </c>
      <c r="C146" s="4" t="s">
        <v>54</v>
      </c>
      <c r="D146" s="4" t="s">
        <v>63</v>
      </c>
      <c r="E146" s="4" t="s">
        <v>55</v>
      </c>
      <c r="F146" s="4">
        <v>2</v>
      </c>
      <c r="G146" s="4">
        <v>0.04</v>
      </c>
      <c r="H146" s="4" t="b">
        <v>0</v>
      </c>
      <c r="I146" s="4" t="b">
        <v>1</v>
      </c>
      <c r="J146" s="4" t="b">
        <v>0</v>
      </c>
      <c r="K146" s="4">
        <v>2.9529999999999998</v>
      </c>
      <c r="L146" s="4">
        <v>5.1999999999999998E-2</v>
      </c>
      <c r="M146" s="4">
        <v>-5.8000000000000003E-2</v>
      </c>
      <c r="N146" s="4">
        <v>122.099</v>
      </c>
      <c r="O146" s="4">
        <v>-0.13100000000000001</v>
      </c>
      <c r="P146" s="4">
        <v>5.0000000000000001E-3</v>
      </c>
      <c r="Q146" s="5">
        <v>1E-3</v>
      </c>
      <c r="R146" s="5">
        <v>0.18</v>
      </c>
      <c r="S146" s="9">
        <v>2034.999</v>
      </c>
      <c r="T146" s="4">
        <v>1838.375</v>
      </c>
      <c r="U146" s="4">
        <v>1.41</v>
      </c>
      <c r="V146" s="4">
        <v>2.0859999999999999</v>
      </c>
      <c r="W146" s="4">
        <v>1.2629999999999999</v>
      </c>
      <c r="X146" s="4">
        <v>3.3809999999999998</v>
      </c>
      <c r="Y146" s="4">
        <v>8.1419999999999995</v>
      </c>
      <c r="Z146" s="8">
        <v>5287</v>
      </c>
      <c r="AA146" s="8">
        <v>5270</v>
      </c>
      <c r="AB146" s="4">
        <v>5270</v>
      </c>
      <c r="AC146" s="4">
        <v>0.06</v>
      </c>
      <c r="AD146" s="5">
        <v>-0.08</v>
      </c>
      <c r="AE146" s="16">
        <v>-2.3E-2</v>
      </c>
      <c r="AF146" s="4">
        <v>2.359E-2</v>
      </c>
      <c r="AG146" s="4">
        <v>-7.9409999999999994E-2</v>
      </c>
      <c r="AH146" s="4">
        <v>0.2</v>
      </c>
      <c r="AI146" s="4">
        <v>0.18611</v>
      </c>
      <c r="AJ146" s="4">
        <v>-4.28E-3</v>
      </c>
      <c r="AK146" s="4">
        <v>-2.8400000000000001E-3</v>
      </c>
      <c r="AL146" s="4">
        <v>0</v>
      </c>
      <c r="AM146" s="4">
        <v>0</v>
      </c>
      <c r="AN146" s="4">
        <v>0.27700000000000002</v>
      </c>
      <c r="AO146" s="5">
        <f t="shared" si="37"/>
        <v>1.0032258064516129</v>
      </c>
      <c r="AP146" s="8">
        <f t="shared" si="38"/>
        <v>-17</v>
      </c>
      <c r="AQ146" s="6">
        <f t="shared" si="32"/>
        <v>-9.0909090909090912E-2</v>
      </c>
      <c r="AR146" s="5">
        <f t="shared" si="39"/>
        <v>1</v>
      </c>
      <c r="AS146" s="5">
        <f t="shared" si="40"/>
        <v>-5.7568574331188622E-2</v>
      </c>
      <c r="AT146" s="5">
        <f t="shared" si="43"/>
        <v>-0.18668235670095451</v>
      </c>
      <c r="AU146" s="5">
        <f t="shared" si="42"/>
        <v>-7.0581592320722156E-2</v>
      </c>
      <c r="AV146" s="4">
        <f t="shared" si="33"/>
        <v>0</v>
      </c>
      <c r="AW146" s="4">
        <f t="shared" si="34"/>
        <v>0</v>
      </c>
      <c r="AX146" s="4">
        <f t="shared" si="35"/>
        <v>0</v>
      </c>
      <c r="AY146" s="4">
        <f t="shared" si="36"/>
        <v>5</v>
      </c>
      <c r="AZ146" s="4">
        <f t="shared" si="41"/>
        <v>0</v>
      </c>
    </row>
    <row r="147" spans="1:52" x14ac:dyDescent="0.3">
      <c r="A147" s="4" t="s">
        <v>52</v>
      </c>
      <c r="B147" s="4" t="s">
        <v>61</v>
      </c>
      <c r="C147" s="4" t="s">
        <v>54</v>
      </c>
      <c r="D147" s="4" t="s">
        <v>63</v>
      </c>
      <c r="E147" s="4" t="s">
        <v>55</v>
      </c>
      <c r="F147" s="4">
        <v>2</v>
      </c>
      <c r="G147" s="4">
        <v>0.04</v>
      </c>
      <c r="H147" s="4" t="b">
        <v>0</v>
      </c>
      <c r="I147" s="4" t="b">
        <v>1</v>
      </c>
      <c r="J147" s="4" t="b">
        <v>0</v>
      </c>
      <c r="K147" s="4">
        <v>2.9529999999999998</v>
      </c>
      <c r="L147" s="4">
        <v>5.1999999999999998E-2</v>
      </c>
      <c r="M147" s="4">
        <v>-5.8000000000000003E-2</v>
      </c>
      <c r="N147" s="4">
        <v>217.334</v>
      </c>
      <c r="O147" s="4">
        <v>-7.8E-2</v>
      </c>
      <c r="P147" s="4">
        <v>5.0000000000000001E-3</v>
      </c>
      <c r="Q147" s="5">
        <v>1E-3</v>
      </c>
      <c r="R147" s="5">
        <v>0.18</v>
      </c>
      <c r="S147" s="9">
        <v>2047.355</v>
      </c>
      <c r="T147" s="4">
        <v>1838.375</v>
      </c>
      <c r="U147" s="4">
        <v>1.5649999999999999</v>
      </c>
      <c r="V147" s="4">
        <v>2.1389999999999998</v>
      </c>
      <c r="W147" s="4">
        <v>1.6479999999999999</v>
      </c>
      <c r="X147" s="4">
        <v>3.5449999999999999</v>
      </c>
      <c r="Y147" s="4">
        <v>8.8979999999999997</v>
      </c>
      <c r="Z147" s="8">
        <v>5286</v>
      </c>
      <c r="AA147" s="8">
        <v>5270</v>
      </c>
      <c r="AB147" s="4">
        <v>5270</v>
      </c>
      <c r="AC147" s="4">
        <v>0.06</v>
      </c>
      <c r="AD147" s="5">
        <v>-8.5000000000000006E-2</v>
      </c>
      <c r="AE147" s="16">
        <v>-4.2999999999999997E-2</v>
      </c>
      <c r="AF147" s="4">
        <v>1.4080000000000001E-2</v>
      </c>
      <c r="AG147" s="4">
        <v>-0.11391999999999999</v>
      </c>
      <c r="AH147" s="4">
        <v>0.08</v>
      </c>
      <c r="AI147" s="4">
        <v>0.1303</v>
      </c>
      <c r="AJ147" s="4">
        <v>-4.5199999999999997E-3</v>
      </c>
      <c r="AK147" s="4">
        <v>-3.63E-3</v>
      </c>
      <c r="AL147" s="4">
        <v>0</v>
      </c>
      <c r="AM147" s="4">
        <v>0</v>
      </c>
      <c r="AN147" s="4">
        <v>0.39300000000000002</v>
      </c>
      <c r="AO147" s="5">
        <f t="shared" si="37"/>
        <v>1.0030360531309297</v>
      </c>
      <c r="AP147" s="8">
        <f t="shared" si="38"/>
        <v>-16</v>
      </c>
      <c r="AQ147" s="6">
        <f t="shared" si="32"/>
        <v>-8.5561497326203204E-2</v>
      </c>
      <c r="AR147" s="5">
        <f t="shared" si="39"/>
        <v>1</v>
      </c>
      <c r="AS147" s="5">
        <f t="shared" si="40"/>
        <v>-5.4182187605824585E-2</v>
      </c>
      <c r="AT147" s="5">
        <f t="shared" si="43"/>
        <v>-0.12481988371618938</v>
      </c>
      <c r="AU147" s="5">
        <f t="shared" si="42"/>
        <v>8.0932340563289129E-2</v>
      </c>
      <c r="AV147" s="4">
        <f t="shared" si="33"/>
        <v>0</v>
      </c>
      <c r="AW147" s="4">
        <f t="shared" si="34"/>
        <v>0</v>
      </c>
      <c r="AX147" s="4">
        <f t="shared" si="35"/>
        <v>0</v>
      </c>
      <c r="AY147" s="4">
        <f t="shared" si="36"/>
        <v>5</v>
      </c>
      <c r="AZ147" s="4">
        <f t="shared" si="41"/>
        <v>0</v>
      </c>
    </row>
    <row r="148" spans="1:52" x14ac:dyDescent="0.3">
      <c r="A148" s="4" t="s">
        <v>52</v>
      </c>
      <c r="B148" s="4" t="s">
        <v>61</v>
      </c>
      <c r="C148" s="4" t="s">
        <v>54</v>
      </c>
      <c r="D148" s="4" t="s">
        <v>57</v>
      </c>
      <c r="E148" s="4" t="s">
        <v>55</v>
      </c>
      <c r="F148" s="4">
        <v>2</v>
      </c>
      <c r="G148" s="4">
        <v>0.04</v>
      </c>
      <c r="H148" s="4" t="b">
        <v>0</v>
      </c>
      <c r="I148" s="4" t="b">
        <v>1</v>
      </c>
      <c r="J148" s="4" t="b">
        <v>0</v>
      </c>
      <c r="K148" s="4">
        <v>2.9529999999999998</v>
      </c>
      <c r="L148" s="4">
        <v>5.1999999999999998E-2</v>
      </c>
      <c r="M148" s="4">
        <v>-5.8000000000000003E-2</v>
      </c>
      <c r="N148" s="4">
        <v>-209.96299999999999</v>
      </c>
      <c r="O148" s="4">
        <v>7.5999999999999998E-2</v>
      </c>
      <c r="P148" s="4">
        <v>5.0000000000000001E-3</v>
      </c>
      <c r="Q148" s="5">
        <v>1E-3</v>
      </c>
      <c r="R148" s="5">
        <v>0.18</v>
      </c>
      <c r="S148" s="9">
        <v>2061.17</v>
      </c>
      <c r="T148" s="4">
        <v>1838.375</v>
      </c>
      <c r="U148" s="4">
        <v>1.5629999999999999</v>
      </c>
      <c r="V148" s="4">
        <v>2.2810000000000001</v>
      </c>
      <c r="W148" s="4">
        <v>1.4830000000000001</v>
      </c>
      <c r="X148" s="4">
        <v>4.0140000000000002</v>
      </c>
      <c r="Y148" s="4">
        <v>9.3439999999999994</v>
      </c>
      <c r="Z148" s="8">
        <v>5284</v>
      </c>
      <c r="AA148" s="8">
        <v>5270</v>
      </c>
      <c r="AB148" s="4">
        <v>5270</v>
      </c>
      <c r="AC148" s="4">
        <v>0.06</v>
      </c>
      <c r="AD148" s="5">
        <v>-0.08</v>
      </c>
      <c r="AE148" s="16">
        <v>-0.06</v>
      </c>
      <c r="AF148" s="4">
        <v>1.372E-2</v>
      </c>
      <c r="AG148" s="4">
        <v>-0.12628</v>
      </c>
      <c r="AH148" s="4">
        <v>0.02</v>
      </c>
      <c r="AI148" s="4">
        <v>4.3889999999999998E-2</v>
      </c>
      <c r="AJ148" s="4">
        <v>-6.2500000000000003E-3</v>
      </c>
      <c r="AK148" s="4">
        <v>-4.4799999999999996E-3</v>
      </c>
      <c r="AL148" s="4">
        <v>0</v>
      </c>
      <c r="AM148" s="4">
        <v>0</v>
      </c>
      <c r="AN148" s="4">
        <v>0.52800000000000002</v>
      </c>
      <c r="AO148" s="5">
        <f t="shared" si="37"/>
        <v>1.0026565464895636</v>
      </c>
      <c r="AP148" s="8">
        <f t="shared" si="38"/>
        <v>-14</v>
      </c>
      <c r="AQ148" s="6">
        <f t="shared" si="32"/>
        <v>-7.4866310160427801E-2</v>
      </c>
      <c r="AR148" s="5">
        <f t="shared" si="39"/>
        <v>1</v>
      </c>
      <c r="AS148" s="5">
        <f t="shared" si="40"/>
        <v>-4.7409414155096509E-2</v>
      </c>
      <c r="AT148" s="5">
        <f t="shared" si="43"/>
        <v>-4.0818714138916065E-2</v>
      </c>
      <c r="AU148" s="5">
        <f t="shared" si="42"/>
        <v>0.14477017734346667</v>
      </c>
      <c r="AV148" s="4">
        <f t="shared" si="33"/>
        <v>0</v>
      </c>
      <c r="AW148" s="4">
        <f t="shared" si="34"/>
        <v>0</v>
      </c>
      <c r="AX148" s="4">
        <f t="shared" si="35"/>
        <v>0</v>
      </c>
      <c r="AY148" s="4">
        <f t="shared" si="36"/>
        <v>5</v>
      </c>
      <c r="AZ148" s="4">
        <f t="shared" si="41"/>
        <v>0</v>
      </c>
    </row>
    <row r="149" spans="1:52" x14ac:dyDescent="0.3">
      <c r="A149" s="4" t="s">
        <v>52</v>
      </c>
      <c r="B149" s="4" t="s">
        <v>61</v>
      </c>
      <c r="C149" s="4" t="s">
        <v>54</v>
      </c>
      <c r="D149" s="4" t="s">
        <v>57</v>
      </c>
      <c r="E149" s="4" t="s">
        <v>55</v>
      </c>
      <c r="F149" s="4">
        <v>2</v>
      </c>
      <c r="G149" s="4">
        <v>0.04</v>
      </c>
      <c r="H149" s="4" t="b">
        <v>0</v>
      </c>
      <c r="I149" s="4" t="b">
        <v>1</v>
      </c>
      <c r="J149" s="4" t="b">
        <v>0</v>
      </c>
      <c r="K149" s="4">
        <v>2.9529999999999998</v>
      </c>
      <c r="L149" s="4">
        <v>5.1999999999999998E-2</v>
      </c>
      <c r="M149" s="4">
        <v>-5.8000000000000003E-2</v>
      </c>
      <c r="N149" s="4">
        <v>-99.814999999999998</v>
      </c>
      <c r="O149" s="4">
        <v>0.14000000000000001</v>
      </c>
      <c r="P149" s="4">
        <v>5.0000000000000001E-3</v>
      </c>
      <c r="Q149" s="5">
        <v>1E-3</v>
      </c>
      <c r="R149" s="5">
        <v>0.18</v>
      </c>
      <c r="S149" s="9">
        <v>2075.27</v>
      </c>
      <c r="T149" s="4">
        <v>1838.375</v>
      </c>
      <c r="U149" s="4">
        <v>1.518</v>
      </c>
      <c r="V149" s="4">
        <v>2.5459999999999998</v>
      </c>
      <c r="W149" s="4">
        <v>1.4510000000000001</v>
      </c>
      <c r="X149" s="4">
        <v>3.4670000000000001</v>
      </c>
      <c r="Y149" s="4">
        <v>8.984</v>
      </c>
      <c r="Z149" s="8">
        <v>5281</v>
      </c>
      <c r="AA149" s="8">
        <v>5270</v>
      </c>
      <c r="AB149" s="4">
        <v>5270</v>
      </c>
      <c r="AC149" s="4">
        <v>0.06</v>
      </c>
      <c r="AD149" s="5">
        <v>-7.0000000000000007E-2</v>
      </c>
      <c r="AE149" s="16">
        <v>-7.0999999999999994E-2</v>
      </c>
      <c r="AF149" s="4">
        <v>2.5250000000000002E-2</v>
      </c>
      <c r="AG149" s="4">
        <v>-0.11575000000000001</v>
      </c>
      <c r="AH149" s="4">
        <v>-0.04</v>
      </c>
      <c r="AI149" s="4">
        <v>-4.3580000000000001E-2</v>
      </c>
      <c r="AJ149" s="4">
        <v>-6.1999999999999998E-3</v>
      </c>
      <c r="AK149" s="4">
        <v>-5.11E-3</v>
      </c>
      <c r="AL149" s="4">
        <v>0</v>
      </c>
      <c r="AM149" s="4">
        <v>0</v>
      </c>
      <c r="AN149" s="4">
        <v>0.49199999999999999</v>
      </c>
      <c r="AO149" s="5">
        <f t="shared" si="37"/>
        <v>1.0020872865275143</v>
      </c>
      <c r="AP149" s="8">
        <f t="shared" si="38"/>
        <v>-11</v>
      </c>
      <c r="AQ149" s="6">
        <f t="shared" si="32"/>
        <v>-5.8823529411764705E-2</v>
      </c>
      <c r="AR149" s="5">
        <f t="shared" si="39"/>
        <v>1</v>
      </c>
      <c r="AS149" s="5">
        <f t="shared" si="40"/>
        <v>-3.7250253979004402E-2</v>
      </c>
      <c r="AT149" s="5">
        <f t="shared" si="43"/>
        <v>4.5793810585869815E-2</v>
      </c>
      <c r="AU149" s="5">
        <f t="shared" si="42"/>
        <v>0.21276595744680987</v>
      </c>
      <c r="AV149" s="4">
        <f t="shared" si="33"/>
        <v>0</v>
      </c>
      <c r="AW149" s="4">
        <f t="shared" si="34"/>
        <v>0</v>
      </c>
      <c r="AX149" s="4">
        <f t="shared" si="35"/>
        <v>0</v>
      </c>
      <c r="AY149" s="4">
        <f t="shared" si="36"/>
        <v>5</v>
      </c>
      <c r="AZ149" s="4">
        <f t="shared" si="41"/>
        <v>0</v>
      </c>
    </row>
    <row r="150" spans="1:52" x14ac:dyDescent="0.3">
      <c r="A150" s="4" t="s">
        <v>52</v>
      </c>
      <c r="B150" s="4" t="s">
        <v>61</v>
      </c>
      <c r="C150" s="4" t="s">
        <v>54</v>
      </c>
      <c r="D150" s="4" t="s">
        <v>57</v>
      </c>
      <c r="E150" s="4" t="s">
        <v>55</v>
      </c>
      <c r="F150" s="4">
        <v>2</v>
      </c>
      <c r="G150" s="4">
        <v>0.04</v>
      </c>
      <c r="H150" s="4" t="b">
        <v>0</v>
      </c>
      <c r="I150" s="4" t="b">
        <v>1</v>
      </c>
      <c r="J150" s="4" t="b">
        <v>0</v>
      </c>
      <c r="K150" s="4">
        <v>2.9529999999999998</v>
      </c>
      <c r="L150" s="4">
        <v>5.1999999999999998E-2</v>
      </c>
      <c r="M150" s="4">
        <v>-5.8000000000000003E-2</v>
      </c>
      <c r="N150" s="4">
        <v>-51.886000000000003</v>
      </c>
      <c r="O150" s="4">
        <v>0.21199999999999999</v>
      </c>
      <c r="P150" s="4">
        <v>5.0000000000000001E-3</v>
      </c>
      <c r="Q150" s="5">
        <v>1E-3</v>
      </c>
      <c r="R150" s="5">
        <v>0.18</v>
      </c>
      <c r="S150" s="9">
        <v>2089.1790000000001</v>
      </c>
      <c r="T150" s="4">
        <v>1838.375</v>
      </c>
      <c r="U150" s="4">
        <v>1.415</v>
      </c>
      <c r="V150" s="4">
        <v>2.2040000000000002</v>
      </c>
      <c r="W150" s="4">
        <v>1.4139999999999999</v>
      </c>
      <c r="X150" s="4">
        <v>3.512</v>
      </c>
      <c r="Y150" s="4">
        <v>8.5470000000000006</v>
      </c>
      <c r="Z150" s="8">
        <v>5277</v>
      </c>
      <c r="AA150" s="8">
        <v>5270</v>
      </c>
      <c r="AB150" s="4">
        <v>5270</v>
      </c>
      <c r="AC150" s="4">
        <v>0.06</v>
      </c>
      <c r="AD150" s="5">
        <v>-5.5E-2</v>
      </c>
      <c r="AE150" s="16">
        <v>-7.6999999999999999E-2</v>
      </c>
      <c r="AF150" s="4">
        <v>3.8159999999999999E-2</v>
      </c>
      <c r="AG150" s="4">
        <v>-9.3840000000000007E-2</v>
      </c>
      <c r="AH150" s="4">
        <v>-0.2</v>
      </c>
      <c r="AI150" s="4">
        <v>-0.13167999999999999</v>
      </c>
      <c r="AJ150" s="4">
        <v>-6.3299999999999997E-3</v>
      </c>
      <c r="AK150" s="4">
        <v>-5.5399999999999998E-3</v>
      </c>
      <c r="AL150" s="4">
        <v>0</v>
      </c>
      <c r="AM150" s="4">
        <v>0</v>
      </c>
      <c r="AN150" s="4">
        <v>0.29099999999999998</v>
      </c>
      <c r="AO150" s="5">
        <f t="shared" si="37"/>
        <v>1.0013282732447817</v>
      </c>
      <c r="AP150" s="8">
        <f t="shared" si="38"/>
        <v>-7</v>
      </c>
      <c r="AQ150" s="6">
        <f t="shared" si="32"/>
        <v>-3.7433155080213901E-2</v>
      </c>
      <c r="AR150" s="5">
        <f t="shared" si="39"/>
        <v>1</v>
      </c>
      <c r="AS150" s="5">
        <f t="shared" si="40"/>
        <v>-2.3704707077548254E-2</v>
      </c>
      <c r="AT150" s="5">
        <f t="shared" si="43"/>
        <v>0.13109409240209632</v>
      </c>
      <c r="AU150" s="5">
        <f t="shared" si="42"/>
        <v>0.2875835789776382</v>
      </c>
      <c r="AV150" s="4">
        <f t="shared" si="33"/>
        <v>0</v>
      </c>
      <c r="AW150" s="4">
        <f t="shared" si="34"/>
        <v>0</v>
      </c>
      <c r="AX150" s="4">
        <f t="shared" si="35"/>
        <v>0</v>
      </c>
      <c r="AY150" s="4">
        <f t="shared" si="36"/>
        <v>5</v>
      </c>
      <c r="AZ150" s="4">
        <f t="shared" si="41"/>
        <v>0</v>
      </c>
    </row>
    <row r="151" spans="1:52" x14ac:dyDescent="0.3">
      <c r="A151" s="4" t="s">
        <v>52</v>
      </c>
      <c r="B151" s="4" t="s">
        <v>61</v>
      </c>
      <c r="C151" s="4" t="s">
        <v>54</v>
      </c>
      <c r="D151" s="4" t="s">
        <v>57</v>
      </c>
      <c r="E151" s="4" t="s">
        <v>55</v>
      </c>
      <c r="F151" s="4">
        <v>2</v>
      </c>
      <c r="G151" s="4">
        <v>0.04</v>
      </c>
      <c r="H151" s="4" t="b">
        <v>0</v>
      </c>
      <c r="I151" s="4" t="b">
        <v>1</v>
      </c>
      <c r="J151" s="4" t="b">
        <v>0</v>
      </c>
      <c r="K151" s="4">
        <v>2.9529999999999998</v>
      </c>
      <c r="L151" s="4">
        <v>5.1999999999999998E-2</v>
      </c>
      <c r="M151" s="4">
        <v>-5.8000000000000003E-2</v>
      </c>
      <c r="N151" s="4">
        <v>-22.934999999999999</v>
      </c>
      <c r="O151" s="4">
        <v>0.30499999999999999</v>
      </c>
      <c r="P151" s="4">
        <v>5.0000000000000001E-3</v>
      </c>
      <c r="Q151" s="5">
        <v>1E-3</v>
      </c>
      <c r="R151" s="5">
        <v>0.18</v>
      </c>
      <c r="S151" s="9">
        <v>2103.1680000000001</v>
      </c>
      <c r="T151" s="4">
        <v>1838.375</v>
      </c>
      <c r="U151" s="4">
        <v>1.46</v>
      </c>
      <c r="V151" s="4">
        <v>2.17</v>
      </c>
      <c r="W151" s="4">
        <v>1.333</v>
      </c>
      <c r="X151" s="4">
        <v>3.8580000000000001</v>
      </c>
      <c r="Y151" s="4">
        <v>8.8230000000000004</v>
      </c>
      <c r="Z151" s="8">
        <v>5273</v>
      </c>
      <c r="AA151" s="8">
        <v>5270</v>
      </c>
      <c r="AB151" s="4">
        <v>5270</v>
      </c>
      <c r="AC151" s="4">
        <v>0.06</v>
      </c>
      <c r="AD151" s="5">
        <v>-3.5000000000000003E-2</v>
      </c>
      <c r="AE151" s="16">
        <v>-7.6999999999999999E-2</v>
      </c>
      <c r="AF151" s="4">
        <v>5.4940000000000003E-2</v>
      </c>
      <c r="AG151" s="4">
        <v>-5.706E-2</v>
      </c>
      <c r="AH151" s="4">
        <v>-0.22</v>
      </c>
      <c r="AI151" s="4">
        <v>-0.20537</v>
      </c>
      <c r="AJ151" s="4">
        <v>-5.2700000000000004E-3</v>
      </c>
      <c r="AK151" s="4">
        <v>-5.7400000000000003E-3</v>
      </c>
      <c r="AL151" s="4">
        <v>0</v>
      </c>
      <c r="AM151" s="4">
        <v>0</v>
      </c>
      <c r="AN151" s="4">
        <v>0.222</v>
      </c>
      <c r="AO151" s="5">
        <f t="shared" si="37"/>
        <v>1.0005692599620493</v>
      </c>
      <c r="AP151" s="8">
        <f t="shared" si="38"/>
        <v>-3</v>
      </c>
      <c r="AQ151" s="6">
        <f t="shared" si="32"/>
        <v>-1.6042780748663103E-2</v>
      </c>
      <c r="AR151" s="5">
        <f t="shared" si="39"/>
        <v>1</v>
      </c>
      <c r="AS151" s="5">
        <f t="shared" si="40"/>
        <v>-1.015916017609211E-2</v>
      </c>
      <c r="AT151" s="5">
        <f t="shared" si="43"/>
        <v>0.2023982012729888</v>
      </c>
      <c r="AU151" s="5">
        <f t="shared" si="42"/>
        <v>0.28593895203374015</v>
      </c>
      <c r="AV151" s="4">
        <f t="shared" si="33"/>
        <v>0</v>
      </c>
      <c r="AW151" s="4">
        <f t="shared" si="34"/>
        <v>0</v>
      </c>
      <c r="AX151" s="4">
        <f t="shared" si="35"/>
        <v>0</v>
      </c>
      <c r="AY151" s="4">
        <f t="shared" si="36"/>
        <v>5</v>
      </c>
      <c r="AZ151" s="4">
        <f t="shared" si="41"/>
        <v>5</v>
      </c>
    </row>
    <row r="152" spans="1:52" x14ac:dyDescent="0.3">
      <c r="A152" s="4" t="s">
        <v>52</v>
      </c>
      <c r="B152" s="4" t="s">
        <v>61</v>
      </c>
      <c r="C152" s="4" t="s">
        <v>54</v>
      </c>
      <c r="D152" s="4" t="s">
        <v>57</v>
      </c>
      <c r="E152" s="4" t="s">
        <v>55</v>
      </c>
      <c r="F152" s="4">
        <v>2</v>
      </c>
      <c r="G152" s="4">
        <v>0.04</v>
      </c>
      <c r="H152" s="4" t="b">
        <v>0</v>
      </c>
      <c r="I152" s="4" t="b">
        <v>1</v>
      </c>
      <c r="J152" s="4" t="b">
        <v>0</v>
      </c>
      <c r="K152" s="4">
        <v>2.9529999999999998</v>
      </c>
      <c r="L152" s="4">
        <v>5.1999999999999998E-2</v>
      </c>
      <c r="M152" s="4">
        <v>-5.8000000000000003E-2</v>
      </c>
      <c r="N152" s="4">
        <v>-10.667999999999999</v>
      </c>
      <c r="O152" s="4">
        <v>0.28100000000000003</v>
      </c>
      <c r="P152" s="4">
        <v>5.0000000000000001E-3</v>
      </c>
      <c r="Q152" s="5">
        <v>1E-3</v>
      </c>
      <c r="R152" s="5">
        <v>0.18</v>
      </c>
      <c r="S152" s="9">
        <v>2116.5700000000002</v>
      </c>
      <c r="T152" s="4">
        <v>1838.375</v>
      </c>
      <c r="U152" s="4">
        <v>1.78</v>
      </c>
      <c r="V152" s="4">
        <v>2.202</v>
      </c>
      <c r="W152" s="4">
        <v>1.552</v>
      </c>
      <c r="X152" s="4">
        <v>3.544</v>
      </c>
      <c r="Y152" s="4">
        <v>9.0809999999999995</v>
      </c>
      <c r="Z152" s="8">
        <v>5270</v>
      </c>
      <c r="AA152" s="8">
        <v>5270</v>
      </c>
      <c r="AB152" s="4">
        <v>5270</v>
      </c>
      <c r="AC152" s="4">
        <v>0.06</v>
      </c>
      <c r="AD152" s="5">
        <v>-1.4999999999999999E-2</v>
      </c>
      <c r="AE152" s="16">
        <v>-7.0000000000000007E-2</v>
      </c>
      <c r="AF152" s="4">
        <v>5.0619999999999998E-2</v>
      </c>
      <c r="AG152" s="4">
        <v>-3.4380000000000001E-2</v>
      </c>
      <c r="AH152" s="4">
        <v>-0.26</v>
      </c>
      <c r="AI152" s="4">
        <v>-0.23116</v>
      </c>
      <c r="AJ152" s="4">
        <v>-1.92E-3</v>
      </c>
      <c r="AK152" s="4">
        <v>-5.2199999999999998E-3</v>
      </c>
      <c r="AL152" s="4">
        <v>0</v>
      </c>
      <c r="AM152" s="4">
        <v>0</v>
      </c>
      <c r="AN152" s="4">
        <v>0.16400000000000001</v>
      </c>
      <c r="AO152" s="5">
        <f t="shared" si="37"/>
        <v>1</v>
      </c>
      <c r="AP152" s="8">
        <f t="shared" si="38"/>
        <v>0</v>
      </c>
      <c r="AQ152" s="6">
        <f t="shared" si="32"/>
        <v>0</v>
      </c>
      <c r="AR152" s="5">
        <f t="shared" si="39"/>
        <v>1</v>
      </c>
      <c r="AS152" s="5">
        <f t="shared" si="40"/>
        <v>0</v>
      </c>
      <c r="AT152" s="5">
        <f t="shared" si="43"/>
        <v>0.23098117055773421</v>
      </c>
      <c r="AU152" s="5">
        <f t="shared" si="42"/>
        <v>0.22384718698701614</v>
      </c>
      <c r="AV152" s="4">
        <f t="shared" si="33"/>
        <v>0</v>
      </c>
      <c r="AW152" s="4">
        <f t="shared" si="34"/>
        <v>0</v>
      </c>
      <c r="AX152" s="4">
        <f t="shared" si="35"/>
        <v>0</v>
      </c>
      <c r="AY152" s="4">
        <f t="shared" si="36"/>
        <v>5</v>
      </c>
      <c r="AZ152" s="4">
        <f t="shared" si="41"/>
        <v>5</v>
      </c>
    </row>
    <row r="153" spans="1:52" x14ac:dyDescent="0.3">
      <c r="A153" s="4" t="s">
        <v>52</v>
      </c>
      <c r="B153" s="4" t="s">
        <v>61</v>
      </c>
      <c r="C153" s="4" t="s">
        <v>54</v>
      </c>
      <c r="D153" s="4" t="s">
        <v>57</v>
      </c>
      <c r="E153" s="4" t="s">
        <v>55</v>
      </c>
      <c r="F153" s="4">
        <v>2</v>
      </c>
      <c r="G153" s="4">
        <v>0.04</v>
      </c>
      <c r="H153" s="4" t="b">
        <v>0</v>
      </c>
      <c r="I153" s="4" t="b">
        <v>1</v>
      </c>
      <c r="J153" s="4" t="b">
        <v>0</v>
      </c>
      <c r="K153" s="4">
        <v>2.9529999999999998</v>
      </c>
      <c r="L153" s="4">
        <v>5.1999999999999998E-2</v>
      </c>
      <c r="M153" s="4">
        <v>-5.8000000000000003E-2</v>
      </c>
      <c r="N153" s="4">
        <v>0</v>
      </c>
      <c r="O153" s="4">
        <v>0.22</v>
      </c>
      <c r="P153" s="4">
        <v>5.0000000000000001E-3</v>
      </c>
      <c r="Q153" s="5">
        <v>1E-3</v>
      </c>
      <c r="R153" s="5">
        <v>0.18</v>
      </c>
      <c r="S153" s="9">
        <v>2130.6750000000002</v>
      </c>
      <c r="T153" s="4">
        <v>1838.375</v>
      </c>
      <c r="U153" s="4">
        <v>1.542</v>
      </c>
      <c r="V153" s="4">
        <v>2.5499999999999998</v>
      </c>
      <c r="W153" s="4">
        <v>1.425</v>
      </c>
      <c r="X153" s="4">
        <v>3.472</v>
      </c>
      <c r="Y153" s="4">
        <v>8.9920000000000009</v>
      </c>
      <c r="Z153" s="8">
        <v>5267</v>
      </c>
      <c r="AA153" s="8">
        <v>5270</v>
      </c>
      <c r="AB153" s="4">
        <v>5270</v>
      </c>
      <c r="AC153" s="4">
        <v>0.06</v>
      </c>
      <c r="AD153" s="5">
        <v>0</v>
      </c>
      <c r="AE153" s="16">
        <v>-0.06</v>
      </c>
      <c r="AF153" s="4">
        <v>3.9539999999999999E-2</v>
      </c>
      <c r="AG153" s="4">
        <v>-2.0459999999999999E-2</v>
      </c>
      <c r="AH153" s="4">
        <v>-0.24</v>
      </c>
      <c r="AI153" s="4">
        <v>-0.24459</v>
      </c>
      <c r="AJ153" s="4">
        <v>-9.5E-4</v>
      </c>
      <c r="AK153" s="4">
        <v>-4.15E-3</v>
      </c>
      <c r="AL153" s="4">
        <v>0</v>
      </c>
      <c r="AM153" s="4">
        <v>0</v>
      </c>
      <c r="AN153" s="4">
        <v>0.10199999999999999</v>
      </c>
      <c r="AO153" s="5">
        <f t="shared" si="37"/>
        <v>0.99943074003795063</v>
      </c>
      <c r="AP153" s="8">
        <f t="shared" si="38"/>
        <v>3</v>
      </c>
      <c r="AQ153" s="6">
        <f t="shared" si="32"/>
        <v>1.6042780748663103E-2</v>
      </c>
      <c r="AR153" s="5">
        <f t="shared" si="39"/>
        <v>1</v>
      </c>
      <c r="AS153" s="5">
        <f t="shared" si="40"/>
        <v>1.015916017609211E-2</v>
      </c>
      <c r="AT153" s="5">
        <f t="shared" si="43"/>
        <v>0.24456524214327691</v>
      </c>
      <c r="AU153" s="5">
        <f t="shared" si="42"/>
        <v>0.21269053527118015</v>
      </c>
      <c r="AV153" s="4">
        <f t="shared" si="33"/>
        <v>0</v>
      </c>
      <c r="AW153" s="4">
        <f t="shared" si="34"/>
        <v>0</v>
      </c>
      <c r="AX153" s="4">
        <f t="shared" si="35"/>
        <v>0</v>
      </c>
      <c r="AY153" s="4">
        <f t="shared" si="36"/>
        <v>5</v>
      </c>
      <c r="AZ153" s="4">
        <f t="shared" si="41"/>
        <v>5</v>
      </c>
    </row>
    <row r="154" spans="1:52" x14ac:dyDescent="0.3">
      <c r="A154" s="4" t="s">
        <v>52</v>
      </c>
      <c r="B154" s="4" t="s">
        <v>61</v>
      </c>
      <c r="C154" s="4" t="s">
        <v>54</v>
      </c>
      <c r="D154" s="4" t="s">
        <v>63</v>
      </c>
      <c r="E154" s="4" t="s">
        <v>55</v>
      </c>
      <c r="F154" s="4">
        <v>2</v>
      </c>
      <c r="G154" s="4">
        <v>0.04</v>
      </c>
      <c r="H154" s="4" t="b">
        <v>0</v>
      </c>
      <c r="I154" s="4" t="b">
        <v>1</v>
      </c>
      <c r="J154" s="4" t="b">
        <v>0</v>
      </c>
      <c r="K154" s="4">
        <v>2.9529999999999998</v>
      </c>
      <c r="L154" s="4">
        <v>5.1999999999999998E-2</v>
      </c>
      <c r="M154" s="4">
        <v>-5.8000000000000003E-2</v>
      </c>
      <c r="N154" s="4">
        <v>14.015000000000001</v>
      </c>
      <c r="O154" s="4">
        <v>0.214</v>
      </c>
      <c r="P154" s="4">
        <v>5.0000000000000001E-3</v>
      </c>
      <c r="Q154" s="5">
        <v>1E-3</v>
      </c>
      <c r="R154" s="5">
        <v>0.18</v>
      </c>
      <c r="S154" s="9">
        <v>2144.1869999999999</v>
      </c>
      <c r="T154" s="4">
        <v>1838.375</v>
      </c>
      <c r="U154" s="4">
        <v>1.544</v>
      </c>
      <c r="V154" s="4">
        <v>2.1339999999999999</v>
      </c>
      <c r="W154" s="4">
        <v>1.361</v>
      </c>
      <c r="X154" s="4">
        <v>3.6640000000000001</v>
      </c>
      <c r="Y154" s="4">
        <v>8.7050000000000001</v>
      </c>
      <c r="Z154" s="8">
        <v>5264</v>
      </c>
      <c r="AA154" s="8">
        <v>5270</v>
      </c>
      <c r="AB154" s="4">
        <v>5270</v>
      </c>
      <c r="AC154" s="4">
        <v>0.06</v>
      </c>
      <c r="AD154" s="5">
        <v>1.4999999999999999E-2</v>
      </c>
      <c r="AE154" s="16">
        <v>-4.7E-2</v>
      </c>
      <c r="AF154" s="4">
        <v>-3.8530000000000002E-2</v>
      </c>
      <c r="AG154" s="4">
        <v>-7.0529999999999995E-2</v>
      </c>
      <c r="AH154" s="4">
        <v>-0.24</v>
      </c>
      <c r="AI154" s="4">
        <v>-0.24667</v>
      </c>
      <c r="AJ154" s="4">
        <v>-1.4999999999999999E-4</v>
      </c>
      <c r="AK154" s="4">
        <v>-2.9499999999999999E-3</v>
      </c>
      <c r="AL154" s="4">
        <v>0</v>
      </c>
      <c r="AM154" s="4">
        <v>0</v>
      </c>
      <c r="AN154" s="4">
        <v>8.6999999999999994E-2</v>
      </c>
      <c r="AO154" s="5">
        <f t="shared" si="37"/>
        <v>0.99886148007590136</v>
      </c>
      <c r="AP154" s="8">
        <f t="shared" si="38"/>
        <v>6</v>
      </c>
      <c r="AQ154" s="6">
        <f t="shared" si="32"/>
        <v>3.2085561497326207E-2</v>
      </c>
      <c r="AR154" s="5">
        <f t="shared" si="39"/>
        <v>1</v>
      </c>
      <c r="AS154" s="5">
        <f t="shared" si="40"/>
        <v>2.031832035218422E-2</v>
      </c>
      <c r="AT154" s="5">
        <f t="shared" si="43"/>
        <v>0.24641702401093185</v>
      </c>
      <c r="AU154" s="5">
        <f t="shared" si="42"/>
        <v>0.2220248667850846</v>
      </c>
      <c r="AV154" s="4">
        <f t="shared" si="33"/>
        <v>0</v>
      </c>
      <c r="AW154" s="4">
        <f t="shared" si="34"/>
        <v>0</v>
      </c>
      <c r="AX154" s="4">
        <f t="shared" si="35"/>
        <v>0</v>
      </c>
      <c r="AY154" s="4">
        <f t="shared" si="36"/>
        <v>5</v>
      </c>
      <c r="AZ154" s="4">
        <f t="shared" si="41"/>
        <v>0</v>
      </c>
    </row>
    <row r="155" spans="1:52" x14ac:dyDescent="0.3">
      <c r="A155" s="4" t="s">
        <v>52</v>
      </c>
      <c r="B155" s="4" t="s">
        <v>61</v>
      </c>
      <c r="C155" s="4" t="s">
        <v>54</v>
      </c>
      <c r="D155" s="4" t="s">
        <v>63</v>
      </c>
      <c r="E155" s="4" t="s">
        <v>55</v>
      </c>
      <c r="F155" s="4">
        <v>2</v>
      </c>
      <c r="G155" s="4">
        <v>0.04</v>
      </c>
      <c r="H155" s="4" t="b">
        <v>0</v>
      </c>
      <c r="I155" s="4" t="b">
        <v>1</v>
      </c>
      <c r="J155" s="4" t="b">
        <v>0</v>
      </c>
      <c r="K155" s="4">
        <v>2.9529999999999998</v>
      </c>
      <c r="L155" s="4">
        <v>5.1999999999999998E-2</v>
      </c>
      <c r="M155" s="4">
        <v>-5.8000000000000003E-2</v>
      </c>
      <c r="N155" s="4">
        <v>26.446999999999999</v>
      </c>
      <c r="O155" s="4">
        <v>0.22700000000000001</v>
      </c>
      <c r="P155" s="4">
        <v>5.0000000000000001E-3</v>
      </c>
      <c r="Q155" s="5">
        <v>1E-3</v>
      </c>
      <c r="R155" s="5">
        <v>0.18</v>
      </c>
      <c r="S155" s="9">
        <v>2159.0129999999999</v>
      </c>
      <c r="T155" s="4">
        <v>1838.375</v>
      </c>
      <c r="U155" s="4">
        <v>1.4890000000000001</v>
      </c>
      <c r="V155" s="4">
        <v>2.153</v>
      </c>
      <c r="W155" s="4">
        <v>1.34</v>
      </c>
      <c r="X155" s="4">
        <v>3.431</v>
      </c>
      <c r="Y155" s="4">
        <v>8.4149999999999991</v>
      </c>
      <c r="Z155" s="8">
        <v>5262</v>
      </c>
      <c r="AA155" s="8">
        <v>5270</v>
      </c>
      <c r="AB155" s="4">
        <v>5270</v>
      </c>
      <c r="AC155" s="4">
        <v>0.06</v>
      </c>
      <c r="AD155" s="5">
        <v>0.03</v>
      </c>
      <c r="AE155" s="16">
        <v>-3.1E-2</v>
      </c>
      <c r="AF155" s="4">
        <v>-4.0840000000000001E-2</v>
      </c>
      <c r="AG155" s="4">
        <v>-4.1840000000000002E-2</v>
      </c>
      <c r="AH155" s="4">
        <v>-0.2</v>
      </c>
      <c r="AI155" s="4">
        <v>-0.21479999999999999</v>
      </c>
      <c r="AJ155" s="4">
        <v>2.15E-3</v>
      </c>
      <c r="AK155" s="4">
        <v>-1.1900000000000001E-3</v>
      </c>
      <c r="AL155" s="4">
        <v>0</v>
      </c>
      <c r="AM155" s="4">
        <v>0</v>
      </c>
      <c r="AN155" s="4">
        <v>0.153</v>
      </c>
      <c r="AO155" s="5">
        <f t="shared" si="37"/>
        <v>0.99848197343453515</v>
      </c>
      <c r="AP155" s="8">
        <f t="shared" si="38"/>
        <v>8</v>
      </c>
      <c r="AQ155" s="6">
        <f t="shared" si="32"/>
        <v>4.2780748663101602E-2</v>
      </c>
      <c r="AR155" s="5">
        <f t="shared" si="39"/>
        <v>1</v>
      </c>
      <c r="AS155" s="5">
        <f t="shared" si="40"/>
        <v>2.7091093802912292E-2</v>
      </c>
      <c r="AT155" s="5">
        <f t="shared" si="43"/>
        <v>0.215879938594468</v>
      </c>
      <c r="AU155" s="5">
        <f t="shared" si="42"/>
        <v>0.13489815189531884</v>
      </c>
      <c r="AV155" s="4">
        <f t="shared" si="33"/>
        <v>0</v>
      </c>
      <c r="AW155" s="4">
        <f t="shared" si="34"/>
        <v>0</v>
      </c>
      <c r="AX155" s="4">
        <f t="shared" si="35"/>
        <v>0</v>
      </c>
      <c r="AY155" s="4">
        <f t="shared" si="36"/>
        <v>5</v>
      </c>
      <c r="AZ155" s="4">
        <f t="shared" si="41"/>
        <v>0</v>
      </c>
    </row>
    <row r="156" spans="1:52" x14ac:dyDescent="0.3">
      <c r="A156" s="4" t="s">
        <v>52</v>
      </c>
      <c r="B156" s="4" t="s">
        <v>61</v>
      </c>
      <c r="C156" s="4" t="s">
        <v>54</v>
      </c>
      <c r="D156" s="4" t="s">
        <v>63</v>
      </c>
      <c r="E156" s="4" t="s">
        <v>55</v>
      </c>
      <c r="F156" s="4">
        <v>2</v>
      </c>
      <c r="G156" s="4">
        <v>0.04</v>
      </c>
      <c r="H156" s="4" t="b">
        <v>0</v>
      </c>
      <c r="I156" s="4" t="b">
        <v>1</v>
      </c>
      <c r="J156" s="4" t="b">
        <v>0</v>
      </c>
      <c r="K156" s="4">
        <v>2.9529999999999998</v>
      </c>
      <c r="L156" s="4">
        <v>5.1999999999999998E-2</v>
      </c>
      <c r="M156" s="4">
        <v>-5.8000000000000003E-2</v>
      </c>
      <c r="N156" s="4">
        <v>58.149000000000001</v>
      </c>
      <c r="O156" s="4">
        <v>0.13800000000000001</v>
      </c>
      <c r="P156" s="4">
        <v>5.0000000000000001E-3</v>
      </c>
      <c r="Q156" s="5">
        <v>1E-3</v>
      </c>
      <c r="R156" s="5">
        <v>0.18</v>
      </c>
      <c r="S156" s="9">
        <v>2172.6489999999999</v>
      </c>
      <c r="T156" s="4">
        <v>1838.375</v>
      </c>
      <c r="U156" s="4">
        <v>1.7330000000000001</v>
      </c>
      <c r="V156" s="4">
        <v>2.3959999999999999</v>
      </c>
      <c r="W156" s="4">
        <v>1.651</v>
      </c>
      <c r="X156" s="4">
        <v>3.8860000000000001</v>
      </c>
      <c r="Y156" s="4">
        <v>9.6690000000000005</v>
      </c>
      <c r="Z156" s="8">
        <v>5260</v>
      </c>
      <c r="AA156" s="8">
        <v>5270</v>
      </c>
      <c r="AB156" s="4">
        <v>5270</v>
      </c>
      <c r="AC156" s="4">
        <v>0.06</v>
      </c>
      <c r="AD156" s="5">
        <v>0.04</v>
      </c>
      <c r="AE156" s="16">
        <v>-1.2999999999999999E-2</v>
      </c>
      <c r="AF156" s="4">
        <v>-2.4760000000000001E-2</v>
      </c>
      <c r="AG156" s="4">
        <v>2.2399999999999998E-3</v>
      </c>
      <c r="AH156" s="4">
        <v>-0.2</v>
      </c>
      <c r="AI156" s="4">
        <v>-0.18709999999999999</v>
      </c>
      <c r="AJ156" s="4">
        <v>2.0300000000000001E-3</v>
      </c>
      <c r="AK156" s="4">
        <v>2.5999999999999998E-4</v>
      </c>
      <c r="AL156" s="4">
        <v>0</v>
      </c>
      <c r="AM156" s="4">
        <v>0</v>
      </c>
      <c r="AN156" s="4">
        <v>0.123</v>
      </c>
      <c r="AO156" s="5">
        <f t="shared" si="37"/>
        <v>0.99810246679316883</v>
      </c>
      <c r="AP156" s="8">
        <f t="shared" si="38"/>
        <v>10</v>
      </c>
      <c r="AQ156" s="6">
        <f t="shared" ref="AQ156:AQ186" si="44">AP156/MAX(AP:AP)</f>
        <v>5.3475935828877004E-2</v>
      </c>
      <c r="AR156" s="5">
        <f t="shared" si="39"/>
        <v>1</v>
      </c>
      <c r="AS156" s="5">
        <f t="shared" si="40"/>
        <v>3.3863867253640365E-2</v>
      </c>
      <c r="AT156" s="5">
        <f t="shared" ref="AT156:AT186" si="45">AVERAGE(AU152:AU156)</f>
        <v>0.18802626376413539</v>
      </c>
      <c r="AU156" s="5">
        <f t="shared" si="42"/>
        <v>0.14667057788207721</v>
      </c>
      <c r="AV156" s="4">
        <f t="shared" ref="AV156:AV186" si="46">IF(B156="ACCELERATION",5,0)</f>
        <v>0</v>
      </c>
      <c r="AW156" s="4">
        <f t="shared" ref="AW156:AW186" si="47">IF(B156="CRUISING",5,0)</f>
        <v>0</v>
      </c>
      <c r="AX156" s="4">
        <f t="shared" ref="AX156:AX186" si="48">IF(B156="DECELERATION",5,0)</f>
        <v>0</v>
      </c>
      <c r="AY156" s="4">
        <f t="shared" ref="AY156:AY186" si="49">IF(B156="END",5,0)</f>
        <v>5</v>
      </c>
      <c r="AZ156" s="4">
        <f t="shared" si="41"/>
        <v>0</v>
      </c>
    </row>
    <row r="157" spans="1:52" x14ac:dyDescent="0.3">
      <c r="A157" s="4" t="s">
        <v>52</v>
      </c>
      <c r="B157" s="4" t="s">
        <v>61</v>
      </c>
      <c r="C157" s="4" t="s">
        <v>54</v>
      </c>
      <c r="D157" s="4" t="s">
        <v>63</v>
      </c>
      <c r="E157" s="4" t="s">
        <v>55</v>
      </c>
      <c r="F157" s="4">
        <v>2</v>
      </c>
      <c r="G157" s="4">
        <v>0.04</v>
      </c>
      <c r="H157" s="4" t="b">
        <v>0</v>
      </c>
      <c r="I157" s="4" t="b">
        <v>1</v>
      </c>
      <c r="J157" s="4" t="b">
        <v>0</v>
      </c>
      <c r="K157" s="4">
        <v>2.9529999999999998</v>
      </c>
      <c r="L157" s="4">
        <v>5.1999999999999998E-2</v>
      </c>
      <c r="M157" s="4">
        <v>-5.8000000000000003E-2</v>
      </c>
      <c r="N157" s="4">
        <v>74.462999999999994</v>
      </c>
      <c r="O157" s="4">
        <v>0.13400000000000001</v>
      </c>
      <c r="P157" s="4">
        <v>5.0000000000000001E-3</v>
      </c>
      <c r="Q157" s="5">
        <v>1E-3</v>
      </c>
      <c r="R157" s="5">
        <v>0.18</v>
      </c>
      <c r="S157" s="9">
        <v>2187.0340000000001</v>
      </c>
      <c r="T157" s="4">
        <v>1838.375</v>
      </c>
      <c r="U157" s="4">
        <v>1.4670000000000001</v>
      </c>
      <c r="V157" s="4">
        <v>2.145</v>
      </c>
      <c r="W157" s="4">
        <v>1.619</v>
      </c>
      <c r="X157" s="4">
        <v>3.67</v>
      </c>
      <c r="Y157" s="4">
        <v>8.9030000000000005</v>
      </c>
      <c r="Z157" s="8">
        <v>5258</v>
      </c>
      <c r="AA157" s="8">
        <v>5270</v>
      </c>
      <c r="AB157" s="4">
        <v>5270</v>
      </c>
      <c r="AC157" s="4">
        <v>0.06</v>
      </c>
      <c r="AD157" s="5">
        <v>0.05</v>
      </c>
      <c r="AE157" s="16">
        <v>7.0000000000000001E-3</v>
      </c>
      <c r="AF157" s="4">
        <v>-2.4170000000000001E-2</v>
      </c>
      <c r="AG157" s="4">
        <v>3.2829999999999998E-2</v>
      </c>
      <c r="AH157" s="4">
        <v>-0.14000000000000001</v>
      </c>
      <c r="AI157" s="4">
        <v>-0.17030000000000001</v>
      </c>
      <c r="AJ157" s="4">
        <v>1.17E-3</v>
      </c>
      <c r="AK157" s="4">
        <v>8.5999999999999998E-4</v>
      </c>
      <c r="AL157" s="4">
        <v>0</v>
      </c>
      <c r="AM157" s="4">
        <v>0</v>
      </c>
      <c r="AN157" s="4">
        <v>0.16400000000000001</v>
      </c>
      <c r="AO157" s="5">
        <f t="shared" si="37"/>
        <v>0.99772296015180262</v>
      </c>
      <c r="AP157" s="8">
        <f t="shared" si="38"/>
        <v>12</v>
      </c>
      <c r="AQ157" s="6">
        <f t="shared" si="44"/>
        <v>6.4171122994652413E-2</v>
      </c>
      <c r="AR157" s="5">
        <f t="shared" si="39"/>
        <v>1</v>
      </c>
      <c r="AS157" s="5">
        <f t="shared" si="40"/>
        <v>4.063664070436844E-2</v>
      </c>
      <c r="AT157" s="5">
        <f t="shared" si="45"/>
        <v>0.17106356950194201</v>
      </c>
      <c r="AU157" s="5">
        <f t="shared" si="42"/>
        <v>0.13903371567604933</v>
      </c>
      <c r="AV157" s="4">
        <f t="shared" si="46"/>
        <v>0</v>
      </c>
      <c r="AW157" s="4">
        <f t="shared" si="47"/>
        <v>0</v>
      </c>
      <c r="AX157" s="4">
        <f t="shared" si="48"/>
        <v>0</v>
      </c>
      <c r="AY157" s="4">
        <f t="shared" si="49"/>
        <v>5</v>
      </c>
      <c r="AZ157" s="4">
        <f t="shared" si="41"/>
        <v>0</v>
      </c>
    </row>
    <row r="158" spans="1:52" x14ac:dyDescent="0.3">
      <c r="A158" s="4" t="s">
        <v>52</v>
      </c>
      <c r="B158" s="4" t="s">
        <v>61</v>
      </c>
      <c r="C158" s="4" t="s">
        <v>54</v>
      </c>
      <c r="D158" s="4" t="s">
        <v>63</v>
      </c>
      <c r="E158" s="4" t="s">
        <v>55</v>
      </c>
      <c r="F158" s="4">
        <v>2</v>
      </c>
      <c r="G158" s="4">
        <v>0.04</v>
      </c>
      <c r="H158" s="4" t="b">
        <v>0</v>
      </c>
      <c r="I158" s="4" t="b">
        <v>1</v>
      </c>
      <c r="J158" s="4" t="b">
        <v>0</v>
      </c>
      <c r="K158" s="4">
        <v>2.9529999999999998</v>
      </c>
      <c r="L158" s="4">
        <v>5.1999999999999998E-2</v>
      </c>
      <c r="M158" s="4">
        <v>-5.8000000000000003E-2</v>
      </c>
      <c r="N158" s="4">
        <v>81.700999999999993</v>
      </c>
      <c r="O158" s="4">
        <v>0.14699999999999999</v>
      </c>
      <c r="P158" s="4">
        <v>5.0000000000000001E-3</v>
      </c>
      <c r="Q158" s="5">
        <v>1E-3</v>
      </c>
      <c r="R158" s="5">
        <v>0.18</v>
      </c>
      <c r="S158" s="9">
        <v>2200.5909999999999</v>
      </c>
      <c r="T158" s="4">
        <v>1838.375</v>
      </c>
      <c r="U158" s="4">
        <v>1.593</v>
      </c>
      <c r="V158" s="4">
        <v>2.0990000000000002</v>
      </c>
      <c r="W158" s="4">
        <v>1.4</v>
      </c>
      <c r="X158" s="4">
        <v>3.4689999999999999</v>
      </c>
      <c r="Y158" s="4">
        <v>8.5630000000000006</v>
      </c>
      <c r="Z158" s="8">
        <v>5258</v>
      </c>
      <c r="AA158" s="8">
        <v>5270</v>
      </c>
      <c r="AB158" s="4">
        <v>5270</v>
      </c>
      <c r="AC158" s="4">
        <v>0.06</v>
      </c>
      <c r="AD158" s="5">
        <v>0.06</v>
      </c>
      <c r="AE158" s="16">
        <v>2.7E-2</v>
      </c>
      <c r="AF158" s="4">
        <v>-2.6440000000000002E-2</v>
      </c>
      <c r="AG158" s="4">
        <v>6.0560000000000003E-2</v>
      </c>
      <c r="AH158" s="4">
        <v>-0.12</v>
      </c>
      <c r="AI158" s="4">
        <v>-0.12873000000000001</v>
      </c>
      <c r="AJ158" s="4">
        <v>3.0699999999999998E-3</v>
      </c>
      <c r="AK158" s="4">
        <v>1.66E-3</v>
      </c>
      <c r="AL158" s="4">
        <v>0</v>
      </c>
      <c r="AM158" s="4">
        <v>0</v>
      </c>
      <c r="AN158" s="4">
        <v>0.26600000000000001</v>
      </c>
      <c r="AO158" s="5">
        <f t="shared" si="37"/>
        <v>0.99772296015180262</v>
      </c>
      <c r="AP158" s="8">
        <f t="shared" si="38"/>
        <v>12</v>
      </c>
      <c r="AQ158" s="6">
        <f t="shared" si="44"/>
        <v>6.4171122994652413E-2</v>
      </c>
      <c r="AR158" s="5">
        <f t="shared" si="39"/>
        <v>1</v>
      </c>
      <c r="AS158" s="5">
        <f t="shared" si="40"/>
        <v>4.063664070436844E-2</v>
      </c>
      <c r="AT158" s="5">
        <f t="shared" si="45"/>
        <v>0.12852546244770599</v>
      </c>
      <c r="AU158" s="5">
        <f t="shared" si="42"/>
        <v>0</v>
      </c>
      <c r="AV158" s="4">
        <f t="shared" si="46"/>
        <v>0</v>
      </c>
      <c r="AW158" s="4">
        <f t="shared" si="47"/>
        <v>0</v>
      </c>
      <c r="AX158" s="4">
        <f t="shared" si="48"/>
        <v>0</v>
      </c>
      <c r="AY158" s="4">
        <f t="shared" si="49"/>
        <v>5</v>
      </c>
      <c r="AZ158" s="4">
        <f t="shared" si="41"/>
        <v>0</v>
      </c>
    </row>
    <row r="159" spans="1:52" x14ac:dyDescent="0.3">
      <c r="A159" s="4" t="s">
        <v>52</v>
      </c>
      <c r="B159" s="4" t="s">
        <v>61</v>
      </c>
      <c r="C159" s="4" t="s">
        <v>54</v>
      </c>
      <c r="D159" s="4" t="s">
        <v>57</v>
      </c>
      <c r="E159" s="4" t="s">
        <v>55</v>
      </c>
      <c r="F159" s="4">
        <v>2</v>
      </c>
      <c r="G159" s="4">
        <v>0.04</v>
      </c>
      <c r="H159" s="4" t="b">
        <v>0</v>
      </c>
      <c r="I159" s="4" t="b">
        <v>1</v>
      </c>
      <c r="J159" s="4" t="b">
        <v>0</v>
      </c>
      <c r="K159" s="4">
        <v>2.9529999999999998</v>
      </c>
      <c r="L159" s="4">
        <v>5.1999999999999998E-2</v>
      </c>
      <c r="M159" s="4">
        <v>-5.8000000000000003E-2</v>
      </c>
      <c r="N159" s="4">
        <v>0</v>
      </c>
      <c r="O159" s="4">
        <v>0</v>
      </c>
      <c r="P159" s="4">
        <v>5.0000000000000001E-3</v>
      </c>
      <c r="Q159" s="5">
        <v>1E-3</v>
      </c>
      <c r="R159" s="5">
        <v>0.18</v>
      </c>
      <c r="S159" s="9">
        <v>2213.8359999999998</v>
      </c>
      <c r="T159" s="4">
        <v>1838.375</v>
      </c>
      <c r="U159" s="4">
        <v>1.5720000000000001</v>
      </c>
      <c r="V159" s="4">
        <v>2.1920000000000002</v>
      </c>
      <c r="W159" s="4">
        <v>1.454</v>
      </c>
      <c r="X159" s="4">
        <v>3.5659999999999998</v>
      </c>
      <c r="Y159" s="4">
        <v>8.7870000000000008</v>
      </c>
      <c r="Z159" s="8">
        <v>5259</v>
      </c>
      <c r="AA159" s="8">
        <v>5270</v>
      </c>
      <c r="AB159" s="4">
        <v>5270</v>
      </c>
      <c r="AC159" s="4">
        <v>0.06</v>
      </c>
      <c r="AD159" s="5">
        <v>0.06</v>
      </c>
      <c r="AE159" s="16">
        <v>4.3999999999999997E-2</v>
      </c>
      <c r="AF159" s="4">
        <v>0</v>
      </c>
      <c r="AG159" s="4">
        <v>0.104</v>
      </c>
      <c r="AH159" s="4">
        <v>-0.06</v>
      </c>
      <c r="AI159" s="4">
        <v>-7.1790000000000007E-2</v>
      </c>
      <c r="AJ159" s="4">
        <v>4.3E-3</v>
      </c>
      <c r="AK159" s="4">
        <v>2.5100000000000001E-3</v>
      </c>
      <c r="AL159" s="4">
        <v>0</v>
      </c>
      <c r="AM159" s="4">
        <v>0</v>
      </c>
      <c r="AN159" s="4">
        <v>0.30599999999999999</v>
      </c>
      <c r="AO159" s="5">
        <f t="shared" si="37"/>
        <v>0.99791271347248578</v>
      </c>
      <c r="AP159" s="8">
        <f t="shared" si="38"/>
        <v>11</v>
      </c>
      <c r="AQ159" s="6">
        <f t="shared" si="44"/>
        <v>5.8823529411764705E-2</v>
      </c>
      <c r="AR159" s="5">
        <f t="shared" si="39"/>
        <v>1</v>
      </c>
      <c r="AS159" s="5">
        <f t="shared" si="40"/>
        <v>3.7250253979004402E-2</v>
      </c>
      <c r="AT159" s="5">
        <f t="shared" si="45"/>
        <v>6.9020451340594577E-2</v>
      </c>
      <c r="AU159" s="5">
        <f t="shared" si="42"/>
        <v>-7.5500188750472499E-2</v>
      </c>
      <c r="AV159" s="4">
        <f t="shared" si="46"/>
        <v>0</v>
      </c>
      <c r="AW159" s="4">
        <f t="shared" si="47"/>
        <v>0</v>
      </c>
      <c r="AX159" s="4">
        <f t="shared" si="48"/>
        <v>0</v>
      </c>
      <c r="AY159" s="4">
        <f t="shared" si="49"/>
        <v>5</v>
      </c>
      <c r="AZ159" s="4">
        <f t="shared" si="41"/>
        <v>0</v>
      </c>
    </row>
    <row r="160" spans="1:52" x14ac:dyDescent="0.3">
      <c r="A160" s="4" t="s">
        <v>52</v>
      </c>
      <c r="B160" s="4" t="s">
        <v>61</v>
      </c>
      <c r="C160" s="4" t="s">
        <v>54</v>
      </c>
      <c r="D160" s="4" t="s">
        <v>57</v>
      </c>
      <c r="E160" s="4" t="s">
        <v>55</v>
      </c>
      <c r="F160" s="4">
        <v>2</v>
      </c>
      <c r="G160" s="4">
        <v>0.04</v>
      </c>
      <c r="H160" s="4" t="b">
        <v>0</v>
      </c>
      <c r="I160" s="4" t="b">
        <v>1</v>
      </c>
      <c r="J160" s="4" t="b">
        <v>0</v>
      </c>
      <c r="K160" s="4">
        <v>2.9529999999999998</v>
      </c>
      <c r="L160" s="4">
        <v>5.1999999999999998E-2</v>
      </c>
      <c r="M160" s="4">
        <v>-5.8000000000000003E-2</v>
      </c>
      <c r="N160" s="4">
        <v>-148.142</v>
      </c>
      <c r="O160" s="4">
        <v>-7.3999999999999996E-2</v>
      </c>
      <c r="P160" s="4">
        <v>5.0000000000000001E-3</v>
      </c>
      <c r="Q160" s="5">
        <v>1E-3</v>
      </c>
      <c r="R160" s="5">
        <v>0.18</v>
      </c>
      <c r="S160" s="9">
        <v>2227.422</v>
      </c>
      <c r="T160" s="4">
        <v>1838.375</v>
      </c>
      <c r="U160" s="4">
        <v>1.5529999999999999</v>
      </c>
      <c r="V160" s="4">
        <v>2.1659999999999999</v>
      </c>
      <c r="W160" s="4">
        <v>1.536</v>
      </c>
      <c r="X160" s="4">
        <v>3.4769999999999999</v>
      </c>
      <c r="Y160" s="4">
        <v>8.7360000000000007</v>
      </c>
      <c r="Z160" s="8">
        <v>5261</v>
      </c>
      <c r="AA160" s="8">
        <v>5270</v>
      </c>
      <c r="AB160" s="4">
        <v>5270</v>
      </c>
      <c r="AC160" s="4">
        <v>0.06</v>
      </c>
      <c r="AD160" s="5">
        <v>5.5E-2</v>
      </c>
      <c r="AE160" s="16">
        <v>5.7000000000000002E-2</v>
      </c>
      <c r="AF160" s="4">
        <v>-1.337E-2</v>
      </c>
      <c r="AG160" s="4">
        <v>9.8629999999999995E-2</v>
      </c>
      <c r="AH160" s="4">
        <v>0.04</v>
      </c>
      <c r="AI160" s="4">
        <v>-1.4619999999999999E-2</v>
      </c>
      <c r="AJ160" s="4">
        <v>4.2100000000000002E-3</v>
      </c>
      <c r="AK160" s="4">
        <v>2.9299999999999999E-3</v>
      </c>
      <c r="AL160" s="4">
        <v>0</v>
      </c>
      <c r="AM160" s="4">
        <v>0</v>
      </c>
      <c r="AN160" s="4">
        <v>0.46600000000000003</v>
      </c>
      <c r="AO160" s="5">
        <f t="shared" si="37"/>
        <v>0.99829222011385199</v>
      </c>
      <c r="AP160" s="8">
        <f t="shared" si="38"/>
        <v>9</v>
      </c>
      <c r="AQ160" s="6">
        <f t="shared" si="44"/>
        <v>4.8128342245989303E-2</v>
      </c>
      <c r="AR160" s="5">
        <f t="shared" si="39"/>
        <v>1</v>
      </c>
      <c r="AS160" s="5">
        <f t="shared" si="40"/>
        <v>3.0477480528276327E-2</v>
      </c>
      <c r="AT160" s="5">
        <f t="shared" si="45"/>
        <v>1.2598748239611707E-2</v>
      </c>
      <c r="AU160" s="5">
        <f t="shared" si="42"/>
        <v>-0.14721036360959552</v>
      </c>
      <c r="AV160" s="4">
        <f t="shared" si="46"/>
        <v>0</v>
      </c>
      <c r="AW160" s="4">
        <f t="shared" si="47"/>
        <v>0</v>
      </c>
      <c r="AX160" s="4">
        <f t="shared" si="48"/>
        <v>0</v>
      </c>
      <c r="AY160" s="4">
        <f t="shared" si="49"/>
        <v>5</v>
      </c>
      <c r="AZ160" s="4">
        <f t="shared" si="41"/>
        <v>0</v>
      </c>
    </row>
    <row r="161" spans="1:52" x14ac:dyDescent="0.3">
      <c r="A161" s="4" t="s">
        <v>52</v>
      </c>
      <c r="B161" s="4" t="s">
        <v>61</v>
      </c>
      <c r="C161" s="4" t="s">
        <v>54</v>
      </c>
      <c r="D161" s="4" t="s">
        <v>57</v>
      </c>
      <c r="E161" s="4" t="s">
        <v>55</v>
      </c>
      <c r="F161" s="4">
        <v>2</v>
      </c>
      <c r="G161" s="4">
        <v>0.04</v>
      </c>
      <c r="H161" s="4" t="b">
        <v>0</v>
      </c>
      <c r="I161" s="4" t="b">
        <v>1</v>
      </c>
      <c r="J161" s="4" t="b">
        <v>0</v>
      </c>
      <c r="K161" s="4">
        <v>2.9529999999999998</v>
      </c>
      <c r="L161" s="4">
        <v>5.1999999999999998E-2</v>
      </c>
      <c r="M161" s="4">
        <v>-5.8000000000000003E-2</v>
      </c>
      <c r="N161" s="4">
        <v>-60.908000000000001</v>
      </c>
      <c r="O161" s="4">
        <v>-0.14799999999999999</v>
      </c>
      <c r="P161" s="4">
        <v>5.0000000000000001E-3</v>
      </c>
      <c r="Q161" s="5">
        <v>1E-3</v>
      </c>
      <c r="R161" s="5">
        <v>0.18</v>
      </c>
      <c r="S161" s="9">
        <v>2240.8580000000002</v>
      </c>
      <c r="T161" s="4">
        <v>1838.375</v>
      </c>
      <c r="U161" s="4">
        <v>1.7829999999999999</v>
      </c>
      <c r="V161" s="4">
        <v>2.2000000000000002</v>
      </c>
      <c r="W161" s="4">
        <v>1.3440000000000001</v>
      </c>
      <c r="X161" s="4">
        <v>3.62</v>
      </c>
      <c r="Y161" s="4">
        <v>8.9489999999999998</v>
      </c>
      <c r="Z161" s="8">
        <v>5264</v>
      </c>
      <c r="AA161" s="8">
        <v>5270</v>
      </c>
      <c r="AB161" s="4">
        <v>5270</v>
      </c>
      <c r="AC161" s="4">
        <v>0.06</v>
      </c>
      <c r="AD161" s="5">
        <v>4.4999999999999998E-2</v>
      </c>
      <c r="AE161" s="16">
        <v>6.6000000000000003E-2</v>
      </c>
      <c r="AF161" s="4">
        <v>-2.6599999999999999E-2</v>
      </c>
      <c r="AG161" s="4">
        <v>8.4400000000000003E-2</v>
      </c>
      <c r="AH161" s="4">
        <v>0.1</v>
      </c>
      <c r="AI161" s="4">
        <v>5.8639999999999998E-2</v>
      </c>
      <c r="AJ161" s="4">
        <v>5.45E-3</v>
      </c>
      <c r="AK161" s="4">
        <v>3.5999999999999999E-3</v>
      </c>
      <c r="AL161" s="4">
        <v>0</v>
      </c>
      <c r="AM161" s="4">
        <v>0</v>
      </c>
      <c r="AN161" s="4">
        <v>0.36399999999999999</v>
      </c>
      <c r="AO161" s="5">
        <f t="shared" si="37"/>
        <v>0.99886148007590136</v>
      </c>
      <c r="AP161" s="8">
        <f t="shared" si="38"/>
        <v>6</v>
      </c>
      <c r="AQ161" s="6">
        <f t="shared" si="44"/>
        <v>3.2085561497326207E-2</v>
      </c>
      <c r="AR161" s="5">
        <f t="shared" si="39"/>
        <v>1</v>
      </c>
      <c r="AS161" s="5">
        <f t="shared" si="40"/>
        <v>2.031832035218422E-2</v>
      </c>
      <c r="AT161" s="5">
        <f t="shared" si="45"/>
        <v>-6.1391514999798183E-2</v>
      </c>
      <c r="AU161" s="5">
        <f t="shared" si="42"/>
        <v>-0.22328073831497222</v>
      </c>
      <c r="AV161" s="4">
        <f t="shared" si="46"/>
        <v>0</v>
      </c>
      <c r="AW161" s="4">
        <f t="shared" si="47"/>
        <v>0</v>
      </c>
      <c r="AX161" s="4">
        <f t="shared" si="48"/>
        <v>0</v>
      </c>
      <c r="AY161" s="4">
        <f t="shared" si="49"/>
        <v>5</v>
      </c>
      <c r="AZ161" s="4">
        <f t="shared" si="41"/>
        <v>0</v>
      </c>
    </row>
    <row r="162" spans="1:52" x14ac:dyDescent="0.3">
      <c r="A162" s="4" t="s">
        <v>52</v>
      </c>
      <c r="B162" s="4" t="s">
        <v>61</v>
      </c>
      <c r="C162" s="4" t="s">
        <v>54</v>
      </c>
      <c r="D162" s="4" t="s">
        <v>57</v>
      </c>
      <c r="E162" s="4" t="s">
        <v>55</v>
      </c>
      <c r="F162" s="4">
        <v>2</v>
      </c>
      <c r="G162" s="4">
        <v>0.04</v>
      </c>
      <c r="H162" s="4" t="b">
        <v>0</v>
      </c>
      <c r="I162" s="4" t="b">
        <v>1</v>
      </c>
      <c r="J162" s="4" t="b">
        <v>0</v>
      </c>
      <c r="K162" s="4">
        <v>2.9529999999999998</v>
      </c>
      <c r="L162" s="4">
        <v>5.1999999999999998E-2</v>
      </c>
      <c r="M162" s="4">
        <v>-5.8000000000000003E-2</v>
      </c>
      <c r="N162" s="4">
        <v>-27.297999999999998</v>
      </c>
      <c r="O162" s="4">
        <v>-0.22</v>
      </c>
      <c r="P162" s="4">
        <v>5.0000000000000001E-3</v>
      </c>
      <c r="Q162" s="5">
        <v>1E-3</v>
      </c>
      <c r="R162" s="5">
        <v>0.18</v>
      </c>
      <c r="S162" s="9">
        <v>2254.58</v>
      </c>
      <c r="T162" s="4">
        <v>1838.375</v>
      </c>
      <c r="U162" s="4">
        <v>1.599</v>
      </c>
      <c r="V162" s="4">
        <v>2.145</v>
      </c>
      <c r="W162" s="4">
        <v>1.4330000000000001</v>
      </c>
      <c r="X162" s="4">
        <v>3.6280000000000001</v>
      </c>
      <c r="Y162" s="4">
        <v>8.8420000000000005</v>
      </c>
      <c r="Z162" s="8">
        <v>5267</v>
      </c>
      <c r="AA162" s="8">
        <v>5270</v>
      </c>
      <c r="AB162" s="4">
        <v>5270</v>
      </c>
      <c r="AC162" s="4">
        <v>0.06</v>
      </c>
      <c r="AD162" s="5">
        <v>0.03</v>
      </c>
      <c r="AE162" s="16">
        <v>6.9000000000000006E-2</v>
      </c>
      <c r="AF162" s="4">
        <v>-3.9559999999999998E-2</v>
      </c>
      <c r="AG162" s="4">
        <v>5.944E-2</v>
      </c>
      <c r="AH162" s="4">
        <v>0.14000000000000001</v>
      </c>
      <c r="AI162" s="4">
        <v>0.13324</v>
      </c>
      <c r="AJ162" s="4">
        <v>5.4400000000000004E-3</v>
      </c>
      <c r="AK162" s="4">
        <v>4.4900000000000001E-3</v>
      </c>
      <c r="AL162" s="4">
        <v>0</v>
      </c>
      <c r="AM162" s="4">
        <v>0</v>
      </c>
      <c r="AN162" s="4">
        <v>0.21099999999999999</v>
      </c>
      <c r="AO162" s="5">
        <f t="shared" si="37"/>
        <v>0.99943074003795063</v>
      </c>
      <c r="AP162" s="8">
        <f t="shared" si="38"/>
        <v>3</v>
      </c>
      <c r="AQ162" s="6">
        <f t="shared" si="44"/>
        <v>1.6042780748663103E-2</v>
      </c>
      <c r="AR162" s="5">
        <f t="shared" si="39"/>
        <v>1</v>
      </c>
      <c r="AS162" s="5">
        <f t="shared" si="40"/>
        <v>1.015916017609211E-2</v>
      </c>
      <c r="AT162" s="5">
        <f t="shared" si="45"/>
        <v>-0.1329236625950001</v>
      </c>
      <c r="AU162" s="5">
        <f t="shared" si="42"/>
        <v>-0.21862702229996023</v>
      </c>
      <c r="AV162" s="4">
        <f t="shared" si="46"/>
        <v>0</v>
      </c>
      <c r="AW162" s="4">
        <f t="shared" si="47"/>
        <v>0</v>
      </c>
      <c r="AX162" s="4">
        <f t="shared" si="48"/>
        <v>0</v>
      </c>
      <c r="AY162" s="4">
        <f t="shared" si="49"/>
        <v>5</v>
      </c>
      <c r="AZ162" s="4">
        <f t="shared" si="41"/>
        <v>5</v>
      </c>
    </row>
    <row r="163" spans="1:52" x14ac:dyDescent="0.3">
      <c r="A163" s="4" t="s">
        <v>52</v>
      </c>
      <c r="B163" s="4" t="s">
        <v>61</v>
      </c>
      <c r="C163" s="4" t="s">
        <v>54</v>
      </c>
      <c r="D163" s="4" t="s">
        <v>57</v>
      </c>
      <c r="E163" s="4" t="s">
        <v>55</v>
      </c>
      <c r="F163" s="4">
        <v>2</v>
      </c>
      <c r="G163" s="4">
        <v>0.04</v>
      </c>
      <c r="H163" s="4" t="b">
        <v>0</v>
      </c>
      <c r="I163" s="4" t="b">
        <v>1</v>
      </c>
      <c r="J163" s="4" t="b">
        <v>0</v>
      </c>
      <c r="K163" s="4">
        <v>2.9529999999999998</v>
      </c>
      <c r="L163" s="4">
        <v>5.1999999999999998E-2</v>
      </c>
      <c r="M163" s="4">
        <v>-5.8000000000000003E-2</v>
      </c>
      <c r="N163" s="4">
        <v>-13.619</v>
      </c>
      <c r="O163" s="4">
        <v>-0.22</v>
      </c>
      <c r="P163" s="4">
        <v>5.0000000000000001E-3</v>
      </c>
      <c r="Q163" s="5">
        <v>1E-3</v>
      </c>
      <c r="R163" s="5">
        <v>0.18</v>
      </c>
      <c r="S163" s="9">
        <v>2268.3690000000001</v>
      </c>
      <c r="T163" s="4">
        <v>1838.375</v>
      </c>
      <c r="U163" s="4">
        <v>1.556</v>
      </c>
      <c r="V163" s="4">
        <v>2.282</v>
      </c>
      <c r="W163" s="4">
        <v>1.482</v>
      </c>
      <c r="X163" s="4">
        <v>3.673</v>
      </c>
      <c r="Y163" s="4">
        <v>8.9949999999999992</v>
      </c>
      <c r="Z163" s="8">
        <v>5270</v>
      </c>
      <c r="AA163" s="8">
        <v>5270</v>
      </c>
      <c r="AB163" s="4">
        <v>5270</v>
      </c>
      <c r="AC163" s="4">
        <v>0.06</v>
      </c>
      <c r="AD163" s="5">
        <v>1.4999999999999999E-2</v>
      </c>
      <c r="AE163" s="16">
        <v>6.6000000000000003E-2</v>
      </c>
      <c r="AF163" s="4">
        <v>-3.9649999999999998E-2</v>
      </c>
      <c r="AG163" s="4">
        <v>4.1349999999999998E-2</v>
      </c>
      <c r="AH163" s="4">
        <v>0.22</v>
      </c>
      <c r="AI163" s="4">
        <v>0.17705000000000001</v>
      </c>
      <c r="AJ163" s="4">
        <v>3.1800000000000001E-3</v>
      </c>
      <c r="AK163" s="4">
        <v>4.5100000000000001E-3</v>
      </c>
      <c r="AL163" s="4">
        <v>0</v>
      </c>
      <c r="AM163" s="4">
        <v>0</v>
      </c>
      <c r="AN163" s="4">
        <v>0.08</v>
      </c>
      <c r="AO163" s="5">
        <f t="shared" si="37"/>
        <v>1</v>
      </c>
      <c r="AP163" s="8">
        <f t="shared" si="38"/>
        <v>0</v>
      </c>
      <c r="AQ163" s="6">
        <f t="shared" si="44"/>
        <v>0</v>
      </c>
      <c r="AR163" s="5">
        <f t="shared" si="39"/>
        <v>1</v>
      </c>
      <c r="AS163" s="5">
        <f t="shared" si="40"/>
        <v>0</v>
      </c>
      <c r="AT163" s="5">
        <f t="shared" si="45"/>
        <v>-0.17643660769616704</v>
      </c>
      <c r="AU163" s="5">
        <f t="shared" si="42"/>
        <v>-0.21756472550583461</v>
      </c>
      <c r="AV163" s="4">
        <f t="shared" si="46"/>
        <v>0</v>
      </c>
      <c r="AW163" s="4">
        <f t="shared" si="47"/>
        <v>0</v>
      </c>
      <c r="AX163" s="4">
        <f t="shared" si="48"/>
        <v>0</v>
      </c>
      <c r="AY163" s="4">
        <f t="shared" si="49"/>
        <v>5</v>
      </c>
      <c r="AZ163" s="4">
        <f t="shared" si="41"/>
        <v>5</v>
      </c>
    </row>
    <row r="164" spans="1:52" x14ac:dyDescent="0.3">
      <c r="A164" s="4" t="s">
        <v>52</v>
      </c>
      <c r="B164" s="4" t="s">
        <v>61</v>
      </c>
      <c r="C164" s="4" t="s">
        <v>54</v>
      </c>
      <c r="D164" s="4" t="s">
        <v>57</v>
      </c>
      <c r="E164" s="4" t="s">
        <v>55</v>
      </c>
      <c r="F164" s="4">
        <v>2</v>
      </c>
      <c r="G164" s="4">
        <v>0.04</v>
      </c>
      <c r="H164" s="4" t="b">
        <v>0</v>
      </c>
      <c r="I164" s="4" t="b">
        <v>1</v>
      </c>
      <c r="J164" s="4" t="b">
        <v>0</v>
      </c>
      <c r="K164" s="4">
        <v>2.9529999999999998</v>
      </c>
      <c r="L164" s="4">
        <v>5.1999999999999998E-2</v>
      </c>
      <c r="M164" s="4">
        <v>-5.8000000000000003E-2</v>
      </c>
      <c r="N164" s="4">
        <v>0</v>
      </c>
      <c r="O164" s="4">
        <v>-0.215</v>
      </c>
      <c r="P164" s="4">
        <v>5.0000000000000001E-3</v>
      </c>
      <c r="Q164" s="5">
        <v>1E-3</v>
      </c>
      <c r="R164" s="5">
        <v>0.18</v>
      </c>
      <c r="S164" s="9">
        <v>2282.038</v>
      </c>
      <c r="T164" s="4">
        <v>1838.375</v>
      </c>
      <c r="U164" s="4">
        <v>1.621</v>
      </c>
      <c r="V164" s="4">
        <v>2.1160000000000001</v>
      </c>
      <c r="W164" s="4">
        <v>1.4370000000000001</v>
      </c>
      <c r="X164" s="4">
        <v>3.4780000000000002</v>
      </c>
      <c r="Y164" s="4">
        <v>8.6549999999999994</v>
      </c>
      <c r="Z164" s="8">
        <v>5272</v>
      </c>
      <c r="AA164" s="8">
        <v>5270</v>
      </c>
      <c r="AB164" s="4">
        <v>5270</v>
      </c>
      <c r="AC164" s="4">
        <v>0.06</v>
      </c>
      <c r="AD164" s="5">
        <v>0</v>
      </c>
      <c r="AE164" s="16">
        <v>5.8000000000000003E-2</v>
      </c>
      <c r="AF164" s="4">
        <v>-3.8739999999999997E-2</v>
      </c>
      <c r="AG164" s="4">
        <v>1.9259999999999999E-2</v>
      </c>
      <c r="AH164" s="4">
        <v>0.2</v>
      </c>
      <c r="AI164" s="4">
        <v>0.19061</v>
      </c>
      <c r="AJ164" s="4">
        <v>9.8999999999999999E-4</v>
      </c>
      <c r="AK164" s="4">
        <v>3.8500000000000001E-3</v>
      </c>
      <c r="AL164" s="4">
        <v>0</v>
      </c>
      <c r="AM164" s="4">
        <v>0</v>
      </c>
      <c r="AN164" s="4">
        <v>5.0999999999999997E-2</v>
      </c>
      <c r="AO164" s="5">
        <f t="shared" si="37"/>
        <v>1.0003795066413663</v>
      </c>
      <c r="AP164" s="8">
        <f t="shared" si="38"/>
        <v>-2</v>
      </c>
      <c r="AQ164" s="6">
        <f t="shared" si="44"/>
        <v>-1.06951871657754E-2</v>
      </c>
      <c r="AR164" s="5">
        <f t="shared" si="39"/>
        <v>1</v>
      </c>
      <c r="AS164" s="5">
        <f t="shared" si="40"/>
        <v>-6.7727734507280731E-3</v>
      </c>
      <c r="AT164" s="5">
        <f t="shared" si="45"/>
        <v>-0.19059986645642471</v>
      </c>
      <c r="AU164" s="5">
        <f t="shared" si="42"/>
        <v>-0.14631648255176086</v>
      </c>
      <c r="AV164" s="4">
        <f t="shared" si="46"/>
        <v>0</v>
      </c>
      <c r="AW164" s="4">
        <f t="shared" si="47"/>
        <v>0</v>
      </c>
      <c r="AX164" s="4">
        <f t="shared" si="48"/>
        <v>0</v>
      </c>
      <c r="AY164" s="4">
        <f t="shared" si="49"/>
        <v>5</v>
      </c>
      <c r="AZ164" s="4">
        <f t="shared" si="41"/>
        <v>5</v>
      </c>
    </row>
    <row r="165" spans="1:52" x14ac:dyDescent="0.3">
      <c r="A165" s="4" t="s">
        <v>52</v>
      </c>
      <c r="B165" s="4" t="s">
        <v>61</v>
      </c>
      <c r="C165" s="4" t="s">
        <v>54</v>
      </c>
      <c r="D165" s="4" t="s">
        <v>63</v>
      </c>
      <c r="E165" s="4" t="s">
        <v>55</v>
      </c>
      <c r="F165" s="4">
        <v>2</v>
      </c>
      <c r="G165" s="4">
        <v>0.04</v>
      </c>
      <c r="H165" s="4" t="b">
        <v>0</v>
      </c>
      <c r="I165" s="4" t="b">
        <v>1</v>
      </c>
      <c r="J165" s="4" t="b">
        <v>0</v>
      </c>
      <c r="K165" s="4">
        <v>2.9529999999999998</v>
      </c>
      <c r="L165" s="4">
        <v>5.1999999999999998E-2</v>
      </c>
      <c r="M165" s="4">
        <v>-5.8000000000000003E-2</v>
      </c>
      <c r="N165" s="4">
        <v>13.327999999999999</v>
      </c>
      <c r="O165" s="4">
        <v>-0.15</v>
      </c>
      <c r="P165" s="4">
        <v>5.0000000000000001E-3</v>
      </c>
      <c r="Q165" s="5">
        <v>1E-3</v>
      </c>
      <c r="R165" s="5">
        <v>0.18</v>
      </c>
      <c r="S165" s="9">
        <v>2295.3200000000002</v>
      </c>
      <c r="T165" s="4">
        <v>1838.375</v>
      </c>
      <c r="U165" s="4">
        <v>1.466</v>
      </c>
      <c r="V165" s="4">
        <v>2.1240000000000001</v>
      </c>
      <c r="W165" s="4">
        <v>1.446</v>
      </c>
      <c r="X165" s="4">
        <v>3.484</v>
      </c>
      <c r="Y165" s="4">
        <v>8.5229999999999997</v>
      </c>
      <c r="Z165" s="8">
        <v>5274</v>
      </c>
      <c r="AA165" s="8">
        <v>5270</v>
      </c>
      <c r="AB165" s="4">
        <v>5270</v>
      </c>
      <c r="AC165" s="4">
        <v>0.06</v>
      </c>
      <c r="AD165" s="5">
        <v>-0.01</v>
      </c>
      <c r="AE165" s="16">
        <v>4.5999999999999999E-2</v>
      </c>
      <c r="AF165" s="4">
        <v>2.7009999999999999E-2</v>
      </c>
      <c r="AG165" s="4">
        <v>6.3009999999999997E-2</v>
      </c>
      <c r="AH165" s="4">
        <v>0.2</v>
      </c>
      <c r="AI165" s="4">
        <v>0.19145999999999999</v>
      </c>
      <c r="AJ165" s="4">
        <v>6.0000000000000002E-5</v>
      </c>
      <c r="AK165" s="4">
        <v>3.0400000000000002E-3</v>
      </c>
      <c r="AL165" s="4">
        <v>0</v>
      </c>
      <c r="AM165" s="4">
        <v>0</v>
      </c>
      <c r="AN165" s="4">
        <v>2.9000000000000001E-2</v>
      </c>
      <c r="AO165" s="5">
        <f t="shared" si="37"/>
        <v>1.0007590132827324</v>
      </c>
      <c r="AP165" s="8">
        <f t="shared" si="38"/>
        <v>-4</v>
      </c>
      <c r="AQ165" s="6">
        <f t="shared" si="44"/>
        <v>-2.1390374331550801E-2</v>
      </c>
      <c r="AR165" s="5">
        <f t="shared" si="39"/>
        <v>1</v>
      </c>
      <c r="AS165" s="5">
        <f t="shared" si="40"/>
        <v>-1.3545546901456146E-2</v>
      </c>
      <c r="AT165" s="5">
        <f t="shared" si="45"/>
        <v>-0.19127374012812065</v>
      </c>
      <c r="AU165" s="5">
        <f t="shared" si="42"/>
        <v>-0.15057973196807536</v>
      </c>
      <c r="AV165" s="4">
        <f t="shared" si="46"/>
        <v>0</v>
      </c>
      <c r="AW165" s="4">
        <f t="shared" si="47"/>
        <v>0</v>
      </c>
      <c r="AX165" s="4">
        <f t="shared" si="48"/>
        <v>0</v>
      </c>
      <c r="AY165" s="4">
        <f t="shared" si="49"/>
        <v>5</v>
      </c>
      <c r="AZ165" s="4">
        <f t="shared" si="41"/>
        <v>5</v>
      </c>
    </row>
    <row r="166" spans="1:52" x14ac:dyDescent="0.3">
      <c r="A166" s="4" t="s">
        <v>52</v>
      </c>
      <c r="B166" s="4" t="s">
        <v>61</v>
      </c>
      <c r="C166" s="4" t="s">
        <v>54</v>
      </c>
      <c r="D166" s="4" t="s">
        <v>63</v>
      </c>
      <c r="E166" s="4" t="s">
        <v>55</v>
      </c>
      <c r="F166" s="4">
        <v>2</v>
      </c>
      <c r="G166" s="4">
        <v>0.04</v>
      </c>
      <c r="H166" s="4" t="b">
        <v>0</v>
      </c>
      <c r="I166" s="4" t="b">
        <v>1</v>
      </c>
      <c r="J166" s="4" t="b">
        <v>0</v>
      </c>
      <c r="K166" s="4">
        <v>2.9529999999999998</v>
      </c>
      <c r="L166" s="4">
        <v>5.1999999999999998E-2</v>
      </c>
      <c r="M166" s="4">
        <v>-5.8000000000000003E-2</v>
      </c>
      <c r="N166" s="4">
        <v>26.314</v>
      </c>
      <c r="O166" s="4">
        <v>-0.152</v>
      </c>
      <c r="P166" s="4">
        <v>5.0000000000000001E-3</v>
      </c>
      <c r="Q166" s="5">
        <v>1E-3</v>
      </c>
      <c r="R166" s="5">
        <v>0.18</v>
      </c>
      <c r="S166" s="9">
        <v>2308.4369999999999</v>
      </c>
      <c r="T166" s="4">
        <v>1838.375</v>
      </c>
      <c r="U166" s="4">
        <v>1.4570000000000001</v>
      </c>
      <c r="V166" s="4">
        <v>2.2719999999999998</v>
      </c>
      <c r="W166" s="4">
        <v>1.3979999999999999</v>
      </c>
      <c r="X166" s="4">
        <v>3.504</v>
      </c>
      <c r="Y166" s="4">
        <v>8.6329999999999991</v>
      </c>
      <c r="Z166" s="8">
        <v>5276</v>
      </c>
      <c r="AA166" s="8">
        <v>5270</v>
      </c>
      <c r="AB166" s="4">
        <v>5270</v>
      </c>
      <c r="AC166" s="4">
        <v>0.06</v>
      </c>
      <c r="AD166" s="5">
        <v>-0.02</v>
      </c>
      <c r="AE166" s="16">
        <v>3.2000000000000001E-2</v>
      </c>
      <c r="AF166" s="4">
        <v>2.7359999999999999E-2</v>
      </c>
      <c r="AG166" s="4">
        <v>3.9359999999999999E-2</v>
      </c>
      <c r="AH166" s="4">
        <v>0.14000000000000001</v>
      </c>
      <c r="AI166" s="4">
        <v>0.17757000000000001</v>
      </c>
      <c r="AJ166" s="4">
        <v>-1.06E-3</v>
      </c>
      <c r="AK166" s="4">
        <v>1.7600000000000001E-3</v>
      </c>
      <c r="AL166" s="4">
        <v>0</v>
      </c>
      <c r="AM166" s="4">
        <v>0</v>
      </c>
      <c r="AN166" s="4">
        <v>6.5000000000000002E-2</v>
      </c>
      <c r="AO166" s="5">
        <f t="shared" si="37"/>
        <v>1.0011385199240987</v>
      </c>
      <c r="AP166" s="8">
        <f t="shared" si="38"/>
        <v>-6</v>
      </c>
      <c r="AQ166" s="6">
        <f t="shared" si="44"/>
        <v>-3.2085561497326207E-2</v>
      </c>
      <c r="AR166" s="5">
        <f t="shared" si="39"/>
        <v>1</v>
      </c>
      <c r="AS166" s="5">
        <f t="shared" si="40"/>
        <v>-2.031832035218422E-2</v>
      </c>
      <c r="AT166" s="5">
        <f t="shared" si="45"/>
        <v>-0.17711237023443385</v>
      </c>
      <c r="AU166" s="5">
        <f t="shared" si="42"/>
        <v>-0.15247388884653812</v>
      </c>
      <c r="AV166" s="4">
        <f t="shared" si="46"/>
        <v>0</v>
      </c>
      <c r="AW166" s="4">
        <f t="shared" si="47"/>
        <v>0</v>
      </c>
      <c r="AX166" s="4">
        <f t="shared" si="48"/>
        <v>0</v>
      </c>
      <c r="AY166" s="4">
        <f t="shared" si="49"/>
        <v>5</v>
      </c>
      <c r="AZ166" s="4">
        <f t="shared" si="41"/>
        <v>0</v>
      </c>
    </row>
    <row r="167" spans="1:52" x14ac:dyDescent="0.3">
      <c r="A167" s="4" t="s">
        <v>52</v>
      </c>
      <c r="B167" s="4" t="s">
        <v>61</v>
      </c>
      <c r="C167" s="4" t="s">
        <v>54</v>
      </c>
      <c r="D167" s="4" t="s">
        <v>63</v>
      </c>
      <c r="E167" s="4" t="s">
        <v>55</v>
      </c>
      <c r="F167" s="4">
        <v>2</v>
      </c>
      <c r="G167" s="4">
        <v>0.04</v>
      </c>
      <c r="H167" s="4" t="b">
        <v>0</v>
      </c>
      <c r="I167" s="4" t="b">
        <v>1</v>
      </c>
      <c r="J167" s="4" t="b">
        <v>0</v>
      </c>
      <c r="K167" s="4">
        <v>2.9529999999999998</v>
      </c>
      <c r="L167" s="4">
        <v>5.1999999999999998E-2</v>
      </c>
      <c r="M167" s="4">
        <v>-5.8000000000000003E-2</v>
      </c>
      <c r="N167" s="4">
        <v>39.67</v>
      </c>
      <c r="O167" s="4">
        <v>-0.151</v>
      </c>
      <c r="P167" s="4">
        <v>5.0000000000000001E-3</v>
      </c>
      <c r="Q167" s="5">
        <v>1E-3</v>
      </c>
      <c r="R167" s="5">
        <v>0.18</v>
      </c>
      <c r="S167" s="9">
        <v>2321.7269999999999</v>
      </c>
      <c r="T167" s="4">
        <v>1838.375</v>
      </c>
      <c r="U167" s="4">
        <v>1.4870000000000001</v>
      </c>
      <c r="V167" s="4">
        <v>2.125</v>
      </c>
      <c r="W167" s="4">
        <v>1.4219999999999999</v>
      </c>
      <c r="X167" s="4">
        <v>3.548</v>
      </c>
      <c r="Y167" s="4">
        <v>8.5850000000000009</v>
      </c>
      <c r="Z167" s="8">
        <v>5277</v>
      </c>
      <c r="AA167" s="8">
        <v>5270</v>
      </c>
      <c r="AB167" s="4">
        <v>5270</v>
      </c>
      <c r="AC167" s="4">
        <v>0.06</v>
      </c>
      <c r="AD167" s="5">
        <v>-0.03</v>
      </c>
      <c r="AE167" s="16">
        <v>1.6E-2</v>
      </c>
      <c r="AF167" s="4">
        <v>2.7220000000000001E-2</v>
      </c>
      <c r="AG167" s="4">
        <v>1.3220000000000001E-2</v>
      </c>
      <c r="AH167" s="4">
        <v>0.14000000000000001</v>
      </c>
      <c r="AI167" s="4">
        <v>0.14893000000000001</v>
      </c>
      <c r="AJ167" s="4">
        <v>-2.16E-3</v>
      </c>
      <c r="AK167" s="4">
        <v>2.3000000000000001E-4</v>
      </c>
      <c r="AL167" s="4">
        <v>0</v>
      </c>
      <c r="AM167" s="4">
        <v>0</v>
      </c>
      <c r="AN167" s="4">
        <v>4.2999999999999997E-2</v>
      </c>
      <c r="AO167" s="5">
        <f t="shared" si="37"/>
        <v>1.0013282732447817</v>
      </c>
      <c r="AP167" s="8">
        <f t="shared" si="38"/>
        <v>-7</v>
      </c>
      <c r="AQ167" s="6">
        <f t="shared" si="44"/>
        <v>-3.7433155080213901E-2</v>
      </c>
      <c r="AR167" s="5">
        <f t="shared" si="39"/>
        <v>1</v>
      </c>
      <c r="AS167" s="5">
        <f t="shared" si="40"/>
        <v>-2.3704707077548254E-2</v>
      </c>
      <c r="AT167" s="5">
        <f t="shared" si="45"/>
        <v>-0.14843587472854267</v>
      </c>
      <c r="AU167" s="5">
        <f t="shared" si="42"/>
        <v>-7.5244544770504351E-2</v>
      </c>
      <c r="AV167" s="4">
        <f t="shared" si="46"/>
        <v>0</v>
      </c>
      <c r="AW167" s="4">
        <f t="shared" si="47"/>
        <v>0</v>
      </c>
      <c r="AX167" s="4">
        <f t="shared" si="48"/>
        <v>0</v>
      </c>
      <c r="AY167" s="4">
        <f t="shared" si="49"/>
        <v>5</v>
      </c>
      <c r="AZ167" s="4">
        <f t="shared" si="41"/>
        <v>0</v>
      </c>
    </row>
    <row r="168" spans="1:52" x14ac:dyDescent="0.3">
      <c r="A168" s="4" t="s">
        <v>52</v>
      </c>
      <c r="B168" s="4" t="s">
        <v>61</v>
      </c>
      <c r="C168" s="4" t="s">
        <v>54</v>
      </c>
      <c r="D168" s="4" t="s">
        <v>63</v>
      </c>
      <c r="E168" s="4" t="s">
        <v>55</v>
      </c>
      <c r="F168" s="4">
        <v>2</v>
      </c>
      <c r="G168" s="4">
        <v>0.04</v>
      </c>
      <c r="H168" s="4" t="b">
        <v>0</v>
      </c>
      <c r="I168" s="4" t="b">
        <v>1</v>
      </c>
      <c r="J168" s="4" t="b">
        <v>0</v>
      </c>
      <c r="K168" s="4">
        <v>2.9529999999999998</v>
      </c>
      <c r="L168" s="4">
        <v>5.1999999999999998E-2</v>
      </c>
      <c r="M168" s="4">
        <v>-5.8000000000000003E-2</v>
      </c>
      <c r="N168" s="4">
        <v>92.683999999999997</v>
      </c>
      <c r="O168" s="4">
        <v>-7.5999999999999998E-2</v>
      </c>
      <c r="P168" s="4">
        <v>5.0000000000000001E-3</v>
      </c>
      <c r="Q168" s="5">
        <v>1E-3</v>
      </c>
      <c r="R168" s="5">
        <v>0.18</v>
      </c>
      <c r="S168" s="9">
        <v>2335.1109999999999</v>
      </c>
      <c r="T168" s="4">
        <v>1838.375</v>
      </c>
      <c r="U168" s="4">
        <v>1.4019999999999999</v>
      </c>
      <c r="V168" s="4">
        <v>2.073</v>
      </c>
      <c r="W168" s="4">
        <v>1.369</v>
      </c>
      <c r="X168" s="4">
        <v>3.4129999999999998</v>
      </c>
      <c r="Y168" s="4">
        <v>8.2590000000000003</v>
      </c>
      <c r="Z168" s="8">
        <v>5279</v>
      </c>
      <c r="AA168" s="8">
        <v>5270</v>
      </c>
      <c r="AB168" s="4">
        <v>5270</v>
      </c>
      <c r="AC168" s="4">
        <v>0.06</v>
      </c>
      <c r="AD168" s="5">
        <v>-3.5000000000000003E-2</v>
      </c>
      <c r="AE168" s="16">
        <v>-1E-3</v>
      </c>
      <c r="AF168" s="4">
        <v>1.359E-2</v>
      </c>
      <c r="AG168" s="4">
        <v>-2.2409999999999999E-2</v>
      </c>
      <c r="AH168" s="4">
        <v>0.14000000000000001</v>
      </c>
      <c r="AI168" s="4">
        <v>0.13485</v>
      </c>
      <c r="AJ168" s="4">
        <v>-1.0499999999999999E-3</v>
      </c>
      <c r="AK168" s="4">
        <v>-6.3000000000000003E-4</v>
      </c>
      <c r="AL168" s="4">
        <v>0</v>
      </c>
      <c r="AM168" s="4">
        <v>0</v>
      </c>
      <c r="AN168" s="4">
        <v>2.5000000000000001E-2</v>
      </c>
      <c r="AO168" s="5">
        <f t="shared" si="37"/>
        <v>1.001707779886148</v>
      </c>
      <c r="AP168" s="8">
        <f t="shared" si="38"/>
        <v>-9</v>
      </c>
      <c r="AQ168" s="6">
        <f t="shared" si="44"/>
        <v>-4.8128342245989303E-2</v>
      </c>
      <c r="AR168" s="5">
        <f t="shared" si="39"/>
        <v>1</v>
      </c>
      <c r="AS168" s="5">
        <f t="shared" si="40"/>
        <v>-3.0477480528276327E-2</v>
      </c>
      <c r="AT168" s="5">
        <f t="shared" si="45"/>
        <v>-0.13480936118744744</v>
      </c>
      <c r="AU168" s="5">
        <f t="shared" si="42"/>
        <v>-0.14943215780035848</v>
      </c>
      <c r="AV168" s="4">
        <f t="shared" si="46"/>
        <v>0</v>
      </c>
      <c r="AW168" s="4">
        <f t="shared" si="47"/>
        <v>0</v>
      </c>
      <c r="AX168" s="4">
        <f t="shared" si="48"/>
        <v>0</v>
      </c>
      <c r="AY168" s="4">
        <f t="shared" si="49"/>
        <v>5</v>
      </c>
      <c r="AZ168" s="4">
        <f t="shared" si="41"/>
        <v>0</v>
      </c>
    </row>
    <row r="169" spans="1:52" x14ac:dyDescent="0.3">
      <c r="A169" s="4" t="s">
        <v>52</v>
      </c>
      <c r="B169" s="4" t="s">
        <v>61</v>
      </c>
      <c r="C169" s="4" t="s">
        <v>54</v>
      </c>
      <c r="D169" s="4" t="s">
        <v>63</v>
      </c>
      <c r="E169" s="4" t="s">
        <v>55</v>
      </c>
      <c r="F169" s="4">
        <v>2</v>
      </c>
      <c r="G169" s="4">
        <v>0.04</v>
      </c>
      <c r="H169" s="4" t="b">
        <v>0</v>
      </c>
      <c r="I169" s="4" t="b">
        <v>1</v>
      </c>
      <c r="J169" s="4" t="b">
        <v>0</v>
      </c>
      <c r="K169" s="4">
        <v>2.9529999999999998</v>
      </c>
      <c r="L169" s="4">
        <v>5.1999999999999998E-2</v>
      </c>
      <c r="M169" s="4">
        <v>-5.8000000000000003E-2</v>
      </c>
      <c r="N169" s="4">
        <v>58.917999999999999</v>
      </c>
      <c r="O169" s="4">
        <v>-0.153</v>
      </c>
      <c r="P169" s="4">
        <v>5.0000000000000001E-3</v>
      </c>
      <c r="Q169" s="5">
        <v>1E-3</v>
      </c>
      <c r="R169" s="5">
        <v>0.18</v>
      </c>
      <c r="S169" s="9">
        <v>2347.9</v>
      </c>
      <c r="T169" s="4">
        <v>1838.375</v>
      </c>
      <c r="U169" s="4">
        <v>1.5129999999999999</v>
      </c>
      <c r="V169" s="4">
        <v>2.137</v>
      </c>
      <c r="W169" s="4">
        <v>1.4410000000000001</v>
      </c>
      <c r="X169" s="4">
        <v>3.5619999999999998</v>
      </c>
      <c r="Y169" s="4">
        <v>8.6549999999999994</v>
      </c>
      <c r="Z169" s="8">
        <v>5280</v>
      </c>
      <c r="AA169" s="8">
        <v>5270</v>
      </c>
      <c r="AB169" s="4">
        <v>5270</v>
      </c>
      <c r="AC169" s="4">
        <v>0.06</v>
      </c>
      <c r="AD169" s="5">
        <v>-4.4999999999999998E-2</v>
      </c>
      <c r="AE169" s="16">
        <v>-1.9E-2</v>
      </c>
      <c r="AF169" s="4">
        <v>2.75E-2</v>
      </c>
      <c r="AG169" s="4">
        <v>-3.6499999999999998E-2</v>
      </c>
      <c r="AH169" s="4">
        <v>0.12</v>
      </c>
      <c r="AI169" s="4">
        <v>0.12146999999999999</v>
      </c>
      <c r="AJ169" s="4">
        <v>-1.0499999999999999E-3</v>
      </c>
      <c r="AK169" s="4">
        <v>-1.0499999999999999E-3</v>
      </c>
      <c r="AL169" s="4">
        <v>0</v>
      </c>
      <c r="AM169" s="4">
        <v>0</v>
      </c>
      <c r="AN169" s="4">
        <v>0.26900000000000002</v>
      </c>
      <c r="AO169" s="5">
        <f t="shared" si="37"/>
        <v>1.0018975332068312</v>
      </c>
      <c r="AP169" s="8">
        <f t="shared" si="38"/>
        <v>-10</v>
      </c>
      <c r="AQ169" s="6">
        <f t="shared" si="44"/>
        <v>-5.3475935828877004E-2</v>
      </c>
      <c r="AR169" s="5">
        <f t="shared" si="39"/>
        <v>1</v>
      </c>
      <c r="AS169" s="5">
        <f t="shared" si="40"/>
        <v>-3.3863867253640365E-2</v>
      </c>
      <c r="AT169" s="5">
        <f t="shared" si="45"/>
        <v>-0.12118450396085448</v>
      </c>
      <c r="AU169" s="5">
        <f t="shared" si="42"/>
        <v>-7.8192196418796087E-2</v>
      </c>
      <c r="AV169" s="4">
        <f t="shared" si="46"/>
        <v>0</v>
      </c>
      <c r="AW169" s="4">
        <f t="shared" si="47"/>
        <v>0</v>
      </c>
      <c r="AX169" s="4">
        <f t="shared" si="48"/>
        <v>0</v>
      </c>
      <c r="AY169" s="4">
        <f t="shared" si="49"/>
        <v>5</v>
      </c>
      <c r="AZ169" s="4">
        <f t="shared" si="41"/>
        <v>0</v>
      </c>
    </row>
    <row r="170" spans="1:52" x14ac:dyDescent="0.3">
      <c r="A170" s="4" t="s">
        <v>52</v>
      </c>
      <c r="B170" s="4" t="s">
        <v>61</v>
      </c>
      <c r="C170" s="4" t="s">
        <v>54</v>
      </c>
      <c r="D170" s="4" t="s">
        <v>63</v>
      </c>
      <c r="E170" s="4" t="s">
        <v>55</v>
      </c>
      <c r="F170" s="4">
        <v>2</v>
      </c>
      <c r="G170" s="4">
        <v>0.04</v>
      </c>
      <c r="H170" s="4" t="b">
        <v>0</v>
      </c>
      <c r="I170" s="4" t="b">
        <v>1</v>
      </c>
      <c r="J170" s="4" t="b">
        <v>0</v>
      </c>
      <c r="K170" s="4">
        <v>2.9529999999999998</v>
      </c>
      <c r="L170" s="4">
        <v>5.1999999999999998E-2</v>
      </c>
      <c r="M170" s="4">
        <v>-5.8000000000000003E-2</v>
      </c>
      <c r="N170" s="4">
        <v>131.47999999999999</v>
      </c>
      <c r="O170" s="4">
        <v>-7.5999999999999998E-2</v>
      </c>
      <c r="P170" s="4">
        <v>5.0000000000000001E-3</v>
      </c>
      <c r="Q170" s="5">
        <v>1E-3</v>
      </c>
      <c r="R170" s="5">
        <v>0.18</v>
      </c>
      <c r="S170" s="9">
        <v>2361.3739999999998</v>
      </c>
      <c r="T170" s="4">
        <v>1838.375</v>
      </c>
      <c r="U170" s="4">
        <v>1.506</v>
      </c>
      <c r="V170" s="4">
        <v>2.359</v>
      </c>
      <c r="W170" s="4">
        <v>1.5249999999999999</v>
      </c>
      <c r="X170" s="4">
        <v>3.8780000000000001</v>
      </c>
      <c r="Y170" s="4">
        <v>9.27</v>
      </c>
      <c r="Z170" s="8">
        <v>5280</v>
      </c>
      <c r="AA170" s="8">
        <v>5270</v>
      </c>
      <c r="AB170" s="4">
        <v>5270</v>
      </c>
      <c r="AC170" s="4">
        <v>0.06</v>
      </c>
      <c r="AD170" s="5">
        <v>-0.05</v>
      </c>
      <c r="AE170" s="16">
        <v>-3.5000000000000003E-2</v>
      </c>
      <c r="AF170" s="4">
        <v>1.3690000000000001E-2</v>
      </c>
      <c r="AG170" s="4">
        <v>-7.1309999999999998E-2</v>
      </c>
      <c r="AH170" s="4">
        <v>0.1</v>
      </c>
      <c r="AI170" s="4">
        <v>9.0829999999999994E-2</v>
      </c>
      <c r="AJ170" s="4">
        <v>-2.2699999999999999E-3</v>
      </c>
      <c r="AK170" s="4">
        <v>-1.5200000000000001E-3</v>
      </c>
      <c r="AL170" s="4">
        <v>0</v>
      </c>
      <c r="AM170" s="4">
        <v>0</v>
      </c>
      <c r="AN170" s="4">
        <v>0.28699999999999998</v>
      </c>
      <c r="AO170" s="5">
        <f t="shared" si="37"/>
        <v>1.0018975332068312</v>
      </c>
      <c r="AP170" s="8">
        <f t="shared" si="38"/>
        <v>-10</v>
      </c>
      <c r="AQ170" s="6">
        <f t="shared" si="44"/>
        <v>-5.3475935828877004E-2</v>
      </c>
      <c r="AR170" s="5">
        <f t="shared" si="39"/>
        <v>1</v>
      </c>
      <c r="AS170" s="5">
        <f t="shared" si="40"/>
        <v>-3.3863867253640365E-2</v>
      </c>
      <c r="AT170" s="5">
        <f t="shared" si="45"/>
        <v>-9.1068557567239403E-2</v>
      </c>
      <c r="AU170" s="5">
        <f t="shared" si="42"/>
        <v>0</v>
      </c>
      <c r="AV170" s="4">
        <f t="shared" si="46"/>
        <v>0</v>
      </c>
      <c r="AW170" s="4">
        <f t="shared" si="47"/>
        <v>0</v>
      </c>
      <c r="AX170" s="4">
        <f t="shared" si="48"/>
        <v>0</v>
      </c>
      <c r="AY170" s="4">
        <f t="shared" si="49"/>
        <v>5</v>
      </c>
      <c r="AZ170" s="4">
        <f t="shared" si="41"/>
        <v>0</v>
      </c>
    </row>
    <row r="171" spans="1:52" x14ac:dyDescent="0.3">
      <c r="A171" s="4" t="s">
        <v>52</v>
      </c>
      <c r="B171" s="4" t="s">
        <v>61</v>
      </c>
      <c r="C171" s="4" t="s">
        <v>54</v>
      </c>
      <c r="D171" s="4" t="s">
        <v>57</v>
      </c>
      <c r="E171" s="4" t="s">
        <v>55</v>
      </c>
      <c r="F171" s="4">
        <v>2</v>
      </c>
      <c r="G171" s="4">
        <v>0.04</v>
      </c>
      <c r="H171" s="4" t="b">
        <v>0</v>
      </c>
      <c r="I171" s="4" t="b">
        <v>1</v>
      </c>
      <c r="J171" s="4" t="b">
        <v>0</v>
      </c>
      <c r="K171" s="4">
        <v>2.9529999999999998</v>
      </c>
      <c r="L171" s="4">
        <v>5.1999999999999998E-2</v>
      </c>
      <c r="M171" s="4">
        <v>-5.8000000000000003E-2</v>
      </c>
      <c r="N171" s="4">
        <v>0</v>
      </c>
      <c r="O171" s="4">
        <v>0</v>
      </c>
      <c r="P171" s="4">
        <v>5.0000000000000001E-3</v>
      </c>
      <c r="Q171" s="5">
        <v>1E-3</v>
      </c>
      <c r="R171" s="5">
        <v>0.18</v>
      </c>
      <c r="S171" s="9">
        <v>2375.2809999999999</v>
      </c>
      <c r="T171" s="4">
        <v>1838.375</v>
      </c>
      <c r="U171" s="4">
        <v>1.5509999999999999</v>
      </c>
      <c r="V171" s="4">
        <v>2.2109999999999999</v>
      </c>
      <c r="W171" s="4">
        <v>1.5740000000000001</v>
      </c>
      <c r="X171" s="4">
        <v>3.6339999999999999</v>
      </c>
      <c r="Y171" s="4">
        <v>8.9730000000000008</v>
      </c>
      <c r="Z171" s="8">
        <v>5279</v>
      </c>
      <c r="AA171" s="8">
        <v>5270</v>
      </c>
      <c r="AB171" s="4">
        <v>5270</v>
      </c>
      <c r="AC171" s="4">
        <v>0.06</v>
      </c>
      <c r="AD171" s="5">
        <v>-0.05</v>
      </c>
      <c r="AE171" s="16">
        <v>-4.8000000000000001E-2</v>
      </c>
      <c r="AF171" s="4">
        <v>0</v>
      </c>
      <c r="AG171" s="4">
        <v>-9.8000000000000004E-2</v>
      </c>
      <c r="AH171" s="4">
        <v>0.06</v>
      </c>
      <c r="AI171" s="4">
        <v>4.4880000000000003E-2</v>
      </c>
      <c r="AJ171" s="4">
        <v>-3.3E-3</v>
      </c>
      <c r="AK171" s="4">
        <v>-1.99E-3</v>
      </c>
      <c r="AL171" s="4">
        <v>0</v>
      </c>
      <c r="AM171" s="4">
        <v>0</v>
      </c>
      <c r="AN171" s="4">
        <v>0.39300000000000002</v>
      </c>
      <c r="AO171" s="5">
        <f t="shared" si="37"/>
        <v>1.001707779886148</v>
      </c>
      <c r="AP171" s="8">
        <f t="shared" si="38"/>
        <v>-9</v>
      </c>
      <c r="AQ171" s="6">
        <f t="shared" si="44"/>
        <v>-4.8128342245989303E-2</v>
      </c>
      <c r="AR171" s="5">
        <f t="shared" si="39"/>
        <v>1</v>
      </c>
      <c r="AS171" s="5">
        <f t="shared" si="40"/>
        <v>-3.0477480528276327E-2</v>
      </c>
      <c r="AT171" s="5">
        <f t="shared" si="45"/>
        <v>-4.6192532943829689E-2</v>
      </c>
      <c r="AU171" s="5">
        <f t="shared" si="42"/>
        <v>7.1906234270510461E-2</v>
      </c>
      <c r="AV171" s="4">
        <f t="shared" si="46"/>
        <v>0</v>
      </c>
      <c r="AW171" s="4">
        <f t="shared" si="47"/>
        <v>0</v>
      </c>
      <c r="AX171" s="4">
        <f t="shared" si="48"/>
        <v>0</v>
      </c>
      <c r="AY171" s="4">
        <f t="shared" si="49"/>
        <v>5</v>
      </c>
      <c r="AZ171" s="4">
        <f t="shared" si="41"/>
        <v>0</v>
      </c>
    </row>
    <row r="172" spans="1:52" x14ac:dyDescent="0.3">
      <c r="A172" s="4" t="s">
        <v>52</v>
      </c>
      <c r="B172" s="4" t="s">
        <v>61</v>
      </c>
      <c r="C172" s="4" t="s">
        <v>54</v>
      </c>
      <c r="D172" s="4" t="s">
        <v>57</v>
      </c>
      <c r="E172" s="4" t="s">
        <v>55</v>
      </c>
      <c r="F172" s="4">
        <v>2</v>
      </c>
      <c r="G172" s="4">
        <v>0.04</v>
      </c>
      <c r="H172" s="4" t="b">
        <v>0</v>
      </c>
      <c r="I172" s="4" t="b">
        <v>1</v>
      </c>
      <c r="J172" s="4" t="b">
        <v>0</v>
      </c>
      <c r="K172" s="4">
        <v>2.9529999999999998</v>
      </c>
      <c r="L172" s="4">
        <v>5.1999999999999998E-2</v>
      </c>
      <c r="M172" s="4">
        <v>-5.8000000000000003E-2</v>
      </c>
      <c r="N172" s="4">
        <v>-122.48</v>
      </c>
      <c r="O172" s="4">
        <v>7.2999999999999995E-2</v>
      </c>
      <c r="P172" s="4">
        <v>5.0000000000000001E-3</v>
      </c>
      <c r="Q172" s="5">
        <v>1E-3</v>
      </c>
      <c r="R172" s="5">
        <v>0.18</v>
      </c>
      <c r="S172" s="9">
        <v>2389.1309999999999</v>
      </c>
      <c r="T172" s="4">
        <v>1838.375</v>
      </c>
      <c r="U172" s="4">
        <v>1.587</v>
      </c>
      <c r="V172" s="4">
        <v>2.2069999999999999</v>
      </c>
      <c r="W172" s="4">
        <v>1.4730000000000001</v>
      </c>
      <c r="X172" s="4">
        <v>3.5920000000000001</v>
      </c>
      <c r="Y172" s="4">
        <v>8.8620000000000001</v>
      </c>
      <c r="Z172" s="8">
        <v>5277</v>
      </c>
      <c r="AA172" s="8">
        <v>5270</v>
      </c>
      <c r="AB172" s="4">
        <v>5270</v>
      </c>
      <c r="AC172" s="4">
        <v>0.06</v>
      </c>
      <c r="AD172" s="5">
        <v>-4.4999999999999998E-2</v>
      </c>
      <c r="AE172" s="16">
        <v>-5.7000000000000002E-2</v>
      </c>
      <c r="AF172" s="4">
        <v>1.323E-2</v>
      </c>
      <c r="AG172" s="4">
        <v>-8.8770000000000002E-2</v>
      </c>
      <c r="AH172" s="4">
        <v>-0.04</v>
      </c>
      <c r="AI172" s="4">
        <v>0</v>
      </c>
      <c r="AJ172" s="4">
        <v>-3.2399999999999998E-3</v>
      </c>
      <c r="AK172" s="4">
        <v>-2.2100000000000002E-3</v>
      </c>
      <c r="AL172" s="4">
        <v>0</v>
      </c>
      <c r="AM172" s="4">
        <v>0</v>
      </c>
      <c r="AN172" s="4">
        <v>0.48799999999999999</v>
      </c>
      <c r="AO172" s="5">
        <f t="shared" si="37"/>
        <v>1.0013282732447817</v>
      </c>
      <c r="AP172" s="8">
        <f t="shared" si="38"/>
        <v>-7</v>
      </c>
      <c r="AQ172" s="6">
        <f t="shared" si="44"/>
        <v>-3.7433155080213901E-2</v>
      </c>
      <c r="AR172" s="5">
        <f t="shared" si="39"/>
        <v>1</v>
      </c>
      <c r="AS172" s="5">
        <f t="shared" si="40"/>
        <v>-2.3704707077548254E-2</v>
      </c>
      <c r="AT172" s="5">
        <f t="shared" si="45"/>
        <v>-2.2627575637358512E-3</v>
      </c>
      <c r="AU172" s="5">
        <f t="shared" si="42"/>
        <v>0.14440433212996484</v>
      </c>
      <c r="AV172" s="4">
        <f t="shared" si="46"/>
        <v>0</v>
      </c>
      <c r="AW172" s="4">
        <f t="shared" si="47"/>
        <v>0</v>
      </c>
      <c r="AX172" s="4">
        <f t="shared" si="48"/>
        <v>0</v>
      </c>
      <c r="AY172" s="4">
        <f t="shared" si="49"/>
        <v>5</v>
      </c>
      <c r="AZ172" s="4">
        <f t="shared" si="41"/>
        <v>0</v>
      </c>
    </row>
    <row r="173" spans="1:52" x14ac:dyDescent="0.3">
      <c r="A173" s="4" t="s">
        <v>52</v>
      </c>
      <c r="B173" s="4" t="s">
        <v>61</v>
      </c>
      <c r="C173" s="4" t="s">
        <v>54</v>
      </c>
      <c r="D173" s="4" t="s">
        <v>57</v>
      </c>
      <c r="E173" s="4" t="s">
        <v>55</v>
      </c>
      <c r="F173" s="4">
        <v>2</v>
      </c>
      <c r="G173" s="4">
        <v>0.04</v>
      </c>
      <c r="H173" s="4" t="b">
        <v>0</v>
      </c>
      <c r="I173" s="4" t="b">
        <v>1</v>
      </c>
      <c r="J173" s="4" t="b">
        <v>0</v>
      </c>
      <c r="K173" s="4">
        <v>2.9529999999999998</v>
      </c>
      <c r="L173" s="4">
        <v>5.1999999999999998E-2</v>
      </c>
      <c r="M173" s="4">
        <v>-5.8000000000000003E-2</v>
      </c>
      <c r="N173" s="4">
        <v>-48.088999999999999</v>
      </c>
      <c r="O173" s="4">
        <v>0.14599999999999999</v>
      </c>
      <c r="P173" s="4">
        <v>5.0000000000000001E-3</v>
      </c>
      <c r="Q173" s="5">
        <v>1E-3</v>
      </c>
      <c r="R173" s="5">
        <v>0.18</v>
      </c>
      <c r="S173" s="9">
        <v>2402.7040000000002</v>
      </c>
      <c r="T173" s="4">
        <v>1838.375</v>
      </c>
      <c r="U173" s="4">
        <v>1.488</v>
      </c>
      <c r="V173" s="4">
        <v>2.1709999999999998</v>
      </c>
      <c r="W173" s="4">
        <v>1.355</v>
      </c>
      <c r="X173" s="4">
        <v>3.5430000000000001</v>
      </c>
      <c r="Y173" s="4">
        <v>8.5589999999999993</v>
      </c>
      <c r="Z173" s="8">
        <v>5274</v>
      </c>
      <c r="AA173" s="8">
        <v>5270</v>
      </c>
      <c r="AB173" s="4">
        <v>5270</v>
      </c>
      <c r="AC173" s="4">
        <v>0.06</v>
      </c>
      <c r="AD173" s="5">
        <v>-3.5000000000000003E-2</v>
      </c>
      <c r="AE173" s="16">
        <v>-6.2E-2</v>
      </c>
      <c r="AF173" s="4">
        <v>2.6200000000000001E-2</v>
      </c>
      <c r="AG173" s="4">
        <v>-7.0800000000000002E-2</v>
      </c>
      <c r="AH173" s="4">
        <v>-0.1</v>
      </c>
      <c r="AI173" s="4">
        <v>-7.3969999999999994E-2</v>
      </c>
      <c r="AJ173" s="4">
        <v>-5.45E-3</v>
      </c>
      <c r="AK173" s="4">
        <v>-3.0899999999999999E-3</v>
      </c>
      <c r="AL173" s="4">
        <v>0</v>
      </c>
      <c r="AM173" s="4">
        <v>0</v>
      </c>
      <c r="AN173" s="4">
        <v>0.4</v>
      </c>
      <c r="AO173" s="5">
        <f t="shared" si="37"/>
        <v>1.0007590132827324</v>
      </c>
      <c r="AP173" s="8">
        <f t="shared" si="38"/>
        <v>-4</v>
      </c>
      <c r="AQ173" s="6">
        <f t="shared" si="44"/>
        <v>-2.1390374331550801E-2</v>
      </c>
      <c r="AR173" s="5">
        <f t="shared" si="39"/>
        <v>1</v>
      </c>
      <c r="AS173" s="5">
        <f t="shared" si="40"/>
        <v>-1.3545546901456146E-2</v>
      </c>
      <c r="AT173" s="5">
        <f t="shared" si="45"/>
        <v>7.1829081791221702E-2</v>
      </c>
      <c r="AU173" s="5">
        <f t="shared" si="42"/>
        <v>0.22102703897442932</v>
      </c>
      <c r="AV173" s="4">
        <f t="shared" si="46"/>
        <v>0</v>
      </c>
      <c r="AW173" s="4">
        <f t="shared" si="47"/>
        <v>0</v>
      </c>
      <c r="AX173" s="4">
        <f t="shared" si="48"/>
        <v>0</v>
      </c>
      <c r="AY173" s="4">
        <f t="shared" si="49"/>
        <v>5</v>
      </c>
      <c r="AZ173" s="4">
        <f t="shared" si="41"/>
        <v>5</v>
      </c>
    </row>
    <row r="174" spans="1:52" x14ac:dyDescent="0.3">
      <c r="A174" s="4" t="s">
        <v>52</v>
      </c>
      <c r="B174" s="4" t="s">
        <v>61</v>
      </c>
      <c r="C174" s="4" t="s">
        <v>54</v>
      </c>
      <c r="D174" s="4" t="s">
        <v>57</v>
      </c>
      <c r="E174" s="4" t="s">
        <v>55</v>
      </c>
      <c r="F174" s="4">
        <v>2</v>
      </c>
      <c r="G174" s="4">
        <v>0.04</v>
      </c>
      <c r="H174" s="4" t="b">
        <v>0</v>
      </c>
      <c r="I174" s="4" t="b">
        <v>1</v>
      </c>
      <c r="J174" s="4" t="b">
        <v>0</v>
      </c>
      <c r="K174" s="4">
        <v>2.9529999999999998</v>
      </c>
      <c r="L174" s="4">
        <v>5.1999999999999998E-2</v>
      </c>
      <c r="M174" s="4">
        <v>-5.8000000000000003E-2</v>
      </c>
      <c r="N174" s="4">
        <v>-17.693000000000001</v>
      </c>
      <c r="O174" s="4">
        <v>0.22600000000000001</v>
      </c>
      <c r="P174" s="4">
        <v>5.0000000000000001E-3</v>
      </c>
      <c r="Q174" s="5">
        <v>1E-3</v>
      </c>
      <c r="R174" s="5">
        <v>0.18</v>
      </c>
      <c r="S174" s="9">
        <v>2417.0450000000001</v>
      </c>
      <c r="T174" s="4">
        <v>1838.375</v>
      </c>
      <c r="U174" s="4">
        <v>1.8919999999999999</v>
      </c>
      <c r="V174" s="4">
        <v>2.9249999999999998</v>
      </c>
      <c r="W174" s="4">
        <v>1.361</v>
      </c>
      <c r="X174" s="4">
        <v>3.399</v>
      </c>
      <c r="Y174" s="4">
        <v>9.5790000000000006</v>
      </c>
      <c r="Z174" s="8">
        <v>5272</v>
      </c>
      <c r="AA174" s="8">
        <v>5270</v>
      </c>
      <c r="AB174" s="4">
        <v>5270</v>
      </c>
      <c r="AC174" s="4">
        <v>0.06</v>
      </c>
      <c r="AD174" s="5">
        <v>-0.02</v>
      </c>
      <c r="AE174" s="16">
        <v>-6.2E-2</v>
      </c>
      <c r="AF174" s="4">
        <v>4.0689999999999997E-2</v>
      </c>
      <c r="AG174" s="4">
        <v>-4.1309999999999999E-2</v>
      </c>
      <c r="AH174" s="4">
        <v>-0.16</v>
      </c>
      <c r="AI174" s="4">
        <v>-0.1157</v>
      </c>
      <c r="AJ174" s="4">
        <v>-2.9099999999999998E-3</v>
      </c>
      <c r="AK174" s="4">
        <v>-3.4299999999999999E-3</v>
      </c>
      <c r="AL174" s="4">
        <v>0</v>
      </c>
      <c r="AM174" s="4">
        <v>0</v>
      </c>
      <c r="AN174" s="4">
        <v>0.20399999999999999</v>
      </c>
      <c r="AO174" s="5">
        <f t="shared" si="37"/>
        <v>1.0003795066413663</v>
      </c>
      <c r="AP174" s="8">
        <f t="shared" si="38"/>
        <v>-2</v>
      </c>
      <c r="AQ174" s="6">
        <f t="shared" si="44"/>
        <v>-1.06951871657754E-2</v>
      </c>
      <c r="AR174" s="5">
        <f t="shared" si="39"/>
        <v>1</v>
      </c>
      <c r="AS174" s="5">
        <f t="shared" si="40"/>
        <v>-6.7727734507280731E-3</v>
      </c>
      <c r="AT174" s="5">
        <f t="shared" si="45"/>
        <v>0.11535957881154064</v>
      </c>
      <c r="AU174" s="5">
        <f t="shared" si="42"/>
        <v>0.13946028868279861</v>
      </c>
      <c r="AV174" s="4">
        <f t="shared" si="46"/>
        <v>0</v>
      </c>
      <c r="AW174" s="4">
        <f t="shared" si="47"/>
        <v>0</v>
      </c>
      <c r="AX174" s="4">
        <f t="shared" si="48"/>
        <v>0</v>
      </c>
      <c r="AY174" s="4">
        <f t="shared" si="49"/>
        <v>5</v>
      </c>
      <c r="AZ174" s="4">
        <f t="shared" si="41"/>
        <v>5</v>
      </c>
    </row>
    <row r="175" spans="1:52" x14ac:dyDescent="0.3">
      <c r="A175" s="4" t="s">
        <v>52</v>
      </c>
      <c r="B175" s="4" t="s">
        <v>61</v>
      </c>
      <c r="C175" s="4" t="s">
        <v>54</v>
      </c>
      <c r="D175" s="4" t="s">
        <v>57</v>
      </c>
      <c r="E175" s="4" t="s">
        <v>55</v>
      </c>
      <c r="F175" s="4">
        <v>2</v>
      </c>
      <c r="G175" s="4">
        <v>0.04</v>
      </c>
      <c r="H175" s="4" t="b">
        <v>0</v>
      </c>
      <c r="I175" s="4" t="b">
        <v>1</v>
      </c>
      <c r="J175" s="4" t="b">
        <v>0</v>
      </c>
      <c r="K175" s="4">
        <v>2.9529999999999998</v>
      </c>
      <c r="L175" s="4">
        <v>5.1999999999999998E-2</v>
      </c>
      <c r="M175" s="4">
        <v>-5.8000000000000003E-2</v>
      </c>
      <c r="N175" s="4">
        <v>-15.363</v>
      </c>
      <c r="O175" s="4">
        <v>0.13</v>
      </c>
      <c r="P175" s="4">
        <v>5.0000000000000001E-3</v>
      </c>
      <c r="Q175" s="5">
        <v>1E-3</v>
      </c>
      <c r="R175" s="5">
        <v>0.18</v>
      </c>
      <c r="S175" s="9">
        <v>2431.6610000000001</v>
      </c>
      <c r="T175" s="4">
        <v>1838.375</v>
      </c>
      <c r="U175" s="4">
        <v>1.877</v>
      </c>
      <c r="V175" s="4">
        <v>2.411</v>
      </c>
      <c r="W175" s="4">
        <v>1.49</v>
      </c>
      <c r="X175" s="4">
        <v>3.6880000000000002</v>
      </c>
      <c r="Y175" s="4">
        <v>9.4700000000000006</v>
      </c>
      <c r="Z175" s="8">
        <v>5269</v>
      </c>
      <c r="AA175" s="8">
        <v>5270</v>
      </c>
      <c r="AB175" s="4">
        <v>5270</v>
      </c>
      <c r="AC175" s="4">
        <v>0.06</v>
      </c>
      <c r="AD175" s="5">
        <v>-0.01</v>
      </c>
      <c r="AE175" s="16">
        <v>-5.8000000000000003E-2</v>
      </c>
      <c r="AF175" s="4">
        <v>2.3429999999999999E-2</v>
      </c>
      <c r="AG175" s="4">
        <v>-4.4569999999999999E-2</v>
      </c>
      <c r="AH175" s="4">
        <v>-0.18</v>
      </c>
      <c r="AI175" s="4">
        <v>-0.1565</v>
      </c>
      <c r="AJ175" s="4">
        <v>-2.7899999999999999E-3</v>
      </c>
      <c r="AK175" s="4">
        <v>-3.5200000000000001E-3</v>
      </c>
      <c r="AL175" s="4">
        <v>0</v>
      </c>
      <c r="AM175" s="4">
        <v>0</v>
      </c>
      <c r="AN175" s="4">
        <v>0.14899999999999999</v>
      </c>
      <c r="AO175" s="5">
        <f t="shared" si="37"/>
        <v>0.99981024667931684</v>
      </c>
      <c r="AP175" s="8">
        <f t="shared" si="38"/>
        <v>1</v>
      </c>
      <c r="AQ175" s="6">
        <f t="shared" si="44"/>
        <v>5.3475935828877002E-3</v>
      </c>
      <c r="AR175" s="5">
        <f t="shared" si="39"/>
        <v>1</v>
      </c>
      <c r="AS175" s="5">
        <f t="shared" si="40"/>
        <v>3.3863867253640365E-3</v>
      </c>
      <c r="AT175" s="5">
        <f t="shared" si="45"/>
        <v>0.15641048193140933</v>
      </c>
      <c r="AU175" s="5">
        <f t="shared" si="42"/>
        <v>0.20525451559934338</v>
      </c>
      <c r="AV175" s="4">
        <f t="shared" si="46"/>
        <v>0</v>
      </c>
      <c r="AW175" s="4">
        <f t="shared" si="47"/>
        <v>0</v>
      </c>
      <c r="AX175" s="4">
        <f t="shared" si="48"/>
        <v>0</v>
      </c>
      <c r="AY175" s="4">
        <f t="shared" si="49"/>
        <v>5</v>
      </c>
      <c r="AZ175" s="4">
        <f t="shared" si="41"/>
        <v>5</v>
      </c>
    </row>
    <row r="176" spans="1:52" x14ac:dyDescent="0.3">
      <c r="A176" s="4" t="s">
        <v>52</v>
      </c>
      <c r="B176" s="4" t="s">
        <v>61</v>
      </c>
      <c r="C176" s="4" t="s">
        <v>54</v>
      </c>
      <c r="D176" s="4" t="s">
        <v>63</v>
      </c>
      <c r="E176" s="4" t="s">
        <v>55</v>
      </c>
      <c r="F176" s="4">
        <v>2</v>
      </c>
      <c r="G176" s="4">
        <v>0.04</v>
      </c>
      <c r="H176" s="4" t="b">
        <v>0</v>
      </c>
      <c r="I176" s="4" t="b">
        <v>1</v>
      </c>
      <c r="J176" s="4" t="b">
        <v>0</v>
      </c>
      <c r="K176" s="4">
        <v>2.9529999999999998</v>
      </c>
      <c r="L176" s="4">
        <v>5.1999999999999998E-2</v>
      </c>
      <c r="M176" s="4">
        <v>-5.8000000000000003E-2</v>
      </c>
      <c r="N176" s="4">
        <v>4.835</v>
      </c>
      <c r="O176" s="4">
        <v>0.20699999999999999</v>
      </c>
      <c r="P176" s="4">
        <v>5.0000000000000001E-3</v>
      </c>
      <c r="Q176" s="5">
        <v>1E-3</v>
      </c>
      <c r="R176" s="5">
        <v>0.18</v>
      </c>
      <c r="S176" s="9">
        <v>2446.326</v>
      </c>
      <c r="T176" s="4">
        <v>1838.375</v>
      </c>
      <c r="U176" s="4">
        <v>1.597</v>
      </c>
      <c r="V176" s="4">
        <v>2.2330000000000001</v>
      </c>
      <c r="W176" s="4">
        <v>1.333</v>
      </c>
      <c r="X176" s="4">
        <v>3.69</v>
      </c>
      <c r="Y176" s="4">
        <v>8.8559999999999999</v>
      </c>
      <c r="Z176" s="8">
        <v>5266</v>
      </c>
      <c r="AA176" s="8">
        <v>5270</v>
      </c>
      <c r="AB176" s="4">
        <v>5270</v>
      </c>
      <c r="AC176" s="4">
        <v>0.06</v>
      </c>
      <c r="AD176" s="5">
        <v>5.0000000000000001E-3</v>
      </c>
      <c r="AE176" s="16">
        <v>-0.05</v>
      </c>
      <c r="AF176" s="4">
        <v>-3.7229999999999999E-2</v>
      </c>
      <c r="AG176" s="4">
        <v>-8.2229999999999998E-2</v>
      </c>
      <c r="AH176" s="4">
        <v>-0.18</v>
      </c>
      <c r="AI176" s="4">
        <v>-0.18298</v>
      </c>
      <c r="AJ176" s="4">
        <v>-1.81E-3</v>
      </c>
      <c r="AK176" s="4">
        <v>-3.2100000000000002E-3</v>
      </c>
      <c r="AL176" s="4">
        <v>0</v>
      </c>
      <c r="AM176" s="4">
        <v>0</v>
      </c>
      <c r="AN176" s="4">
        <v>0.13400000000000001</v>
      </c>
      <c r="AO176" s="5">
        <f t="shared" si="37"/>
        <v>0.99924098671726758</v>
      </c>
      <c r="AP176" s="8">
        <f t="shared" si="38"/>
        <v>4</v>
      </c>
      <c r="AQ176" s="6">
        <f t="shared" si="44"/>
        <v>2.1390374331550801E-2</v>
      </c>
      <c r="AR176" s="5">
        <f t="shared" si="39"/>
        <v>1</v>
      </c>
      <c r="AS176" s="5">
        <f t="shared" si="40"/>
        <v>1.3545546901456146E-2</v>
      </c>
      <c r="AT176" s="5">
        <f t="shared" si="45"/>
        <v>0.18294297527505707</v>
      </c>
      <c r="AU176" s="5">
        <f t="shared" si="42"/>
        <v>0.20456870098874924</v>
      </c>
      <c r="AV176" s="4">
        <f t="shared" si="46"/>
        <v>0</v>
      </c>
      <c r="AW176" s="4">
        <f t="shared" si="47"/>
        <v>0</v>
      </c>
      <c r="AX176" s="4">
        <f t="shared" si="48"/>
        <v>0</v>
      </c>
      <c r="AY176" s="4">
        <f t="shared" si="49"/>
        <v>5</v>
      </c>
      <c r="AZ176" s="4">
        <f t="shared" si="41"/>
        <v>5</v>
      </c>
    </row>
    <row r="177" spans="1:52" x14ac:dyDescent="0.3">
      <c r="A177" s="4" t="s">
        <v>52</v>
      </c>
      <c r="B177" s="4" t="s">
        <v>61</v>
      </c>
      <c r="C177" s="4" t="s">
        <v>54</v>
      </c>
      <c r="D177" s="4" t="s">
        <v>63</v>
      </c>
      <c r="E177" s="4" t="s">
        <v>55</v>
      </c>
      <c r="F177" s="4">
        <v>2</v>
      </c>
      <c r="G177" s="4">
        <v>0.04</v>
      </c>
      <c r="H177" s="4" t="b">
        <v>0</v>
      </c>
      <c r="I177" s="4" t="b">
        <v>1</v>
      </c>
      <c r="J177" s="4" t="b">
        <v>0</v>
      </c>
      <c r="K177" s="4">
        <v>2.9529999999999998</v>
      </c>
      <c r="L177" s="4">
        <v>5.1999999999999998E-2</v>
      </c>
      <c r="M177" s="4">
        <v>-5.8000000000000003E-2</v>
      </c>
      <c r="N177" s="4">
        <v>18.731999999999999</v>
      </c>
      <c r="O177" s="4">
        <v>0.214</v>
      </c>
      <c r="P177" s="4">
        <v>5.0000000000000001E-3</v>
      </c>
      <c r="Q177" s="5">
        <v>1E-3</v>
      </c>
      <c r="R177" s="5">
        <v>0.18</v>
      </c>
      <c r="S177" s="9">
        <v>2459.7060000000001</v>
      </c>
      <c r="T177" s="4">
        <v>1838.375</v>
      </c>
      <c r="U177" s="4">
        <v>1.5149999999999999</v>
      </c>
      <c r="V177" s="4">
        <v>2.2309999999999999</v>
      </c>
      <c r="W177" s="4">
        <v>1.4219999999999999</v>
      </c>
      <c r="X177" s="4">
        <v>3.7040000000000002</v>
      </c>
      <c r="Y177" s="4">
        <v>8.8740000000000006</v>
      </c>
      <c r="Z177" s="8">
        <v>5264</v>
      </c>
      <c r="AA177" s="8">
        <v>5270</v>
      </c>
      <c r="AB177" s="4">
        <v>5270</v>
      </c>
      <c r="AC177" s="4">
        <v>0.06</v>
      </c>
      <c r="AD177" s="5">
        <v>0.02</v>
      </c>
      <c r="AE177" s="16">
        <v>-3.6999999999999998E-2</v>
      </c>
      <c r="AF177" s="4">
        <v>-3.8440000000000002E-2</v>
      </c>
      <c r="AG177" s="4">
        <v>-5.5440000000000003E-2</v>
      </c>
      <c r="AH177" s="4">
        <v>-0.16</v>
      </c>
      <c r="AI177" s="4">
        <v>-0.1842</v>
      </c>
      <c r="AJ177" s="4">
        <v>-9.0000000000000006E-5</v>
      </c>
      <c r="AK177" s="4">
        <v>-2.6099999999999999E-3</v>
      </c>
      <c r="AL177" s="4">
        <v>0</v>
      </c>
      <c r="AM177" s="4">
        <v>0</v>
      </c>
      <c r="AN177" s="4">
        <v>0.17399999999999999</v>
      </c>
      <c r="AO177" s="5">
        <f t="shared" si="37"/>
        <v>0.99886148007590136</v>
      </c>
      <c r="AP177" s="8">
        <f t="shared" si="38"/>
        <v>6</v>
      </c>
      <c r="AQ177" s="6">
        <f t="shared" si="44"/>
        <v>3.2085561497326207E-2</v>
      </c>
      <c r="AR177" s="5">
        <f t="shared" si="39"/>
        <v>1</v>
      </c>
      <c r="AS177" s="5">
        <f t="shared" si="40"/>
        <v>2.031832035218422E-2</v>
      </c>
      <c r="AT177" s="5">
        <f t="shared" si="45"/>
        <v>0.18395747506730004</v>
      </c>
      <c r="AU177" s="5">
        <f t="shared" si="42"/>
        <v>0.14947683109117965</v>
      </c>
      <c r="AV177" s="4">
        <f t="shared" si="46"/>
        <v>0</v>
      </c>
      <c r="AW177" s="4">
        <f t="shared" si="47"/>
        <v>0</v>
      </c>
      <c r="AX177" s="4">
        <f t="shared" si="48"/>
        <v>0</v>
      </c>
      <c r="AY177" s="4">
        <f t="shared" si="49"/>
        <v>5</v>
      </c>
      <c r="AZ177" s="4">
        <f t="shared" si="41"/>
        <v>0</v>
      </c>
    </row>
    <row r="178" spans="1:52" x14ac:dyDescent="0.3">
      <c r="A178" s="4" t="s">
        <v>52</v>
      </c>
      <c r="B178" s="4" t="s">
        <v>61</v>
      </c>
      <c r="C178" s="4" t="s">
        <v>54</v>
      </c>
      <c r="D178" s="4" t="s">
        <v>63</v>
      </c>
      <c r="E178" s="4" t="s">
        <v>55</v>
      </c>
      <c r="F178" s="4">
        <v>2</v>
      </c>
      <c r="G178" s="4">
        <v>0.04</v>
      </c>
      <c r="H178" s="4" t="b">
        <v>0</v>
      </c>
      <c r="I178" s="4" t="b">
        <v>1</v>
      </c>
      <c r="J178" s="4" t="b">
        <v>0</v>
      </c>
      <c r="K178" s="4">
        <v>2.9529999999999998</v>
      </c>
      <c r="L178" s="4">
        <v>5.1999999999999998E-2</v>
      </c>
      <c r="M178" s="4">
        <v>-5.8000000000000003E-2</v>
      </c>
      <c r="N178" s="4">
        <v>40.210999999999999</v>
      </c>
      <c r="O178" s="4">
        <v>0.14899999999999999</v>
      </c>
      <c r="P178" s="4">
        <v>5.0000000000000001E-3</v>
      </c>
      <c r="Q178" s="5">
        <v>1E-3</v>
      </c>
      <c r="R178" s="5">
        <v>0.18</v>
      </c>
      <c r="S178" s="9">
        <v>2473.7959999999998</v>
      </c>
      <c r="T178" s="4">
        <v>1838.375</v>
      </c>
      <c r="U178" s="4">
        <v>1.4279999999999999</v>
      </c>
      <c r="V178" s="4">
        <v>2.113</v>
      </c>
      <c r="W178" s="4">
        <v>1.3220000000000001</v>
      </c>
      <c r="X178" s="4">
        <v>3.7709999999999999</v>
      </c>
      <c r="Y178" s="4">
        <v>8.6370000000000005</v>
      </c>
      <c r="Z178" s="8">
        <v>5262</v>
      </c>
      <c r="AA178" s="8">
        <v>5270</v>
      </c>
      <c r="AB178" s="4">
        <v>5270</v>
      </c>
      <c r="AC178" s="4">
        <v>0.06</v>
      </c>
      <c r="AD178" s="5">
        <v>0.03</v>
      </c>
      <c r="AE178" s="16">
        <v>-2.1000000000000001E-2</v>
      </c>
      <c r="AF178" s="4">
        <v>-2.6859999999999998E-2</v>
      </c>
      <c r="AG178" s="4">
        <v>-1.7860000000000001E-2</v>
      </c>
      <c r="AH178" s="4">
        <v>-0.18</v>
      </c>
      <c r="AI178" s="4">
        <v>-0.16880000000000001</v>
      </c>
      <c r="AJ178" s="4">
        <v>1.09E-3</v>
      </c>
      <c r="AK178" s="4">
        <v>-1.33E-3</v>
      </c>
      <c r="AL178" s="4">
        <v>0</v>
      </c>
      <c r="AM178" s="4">
        <v>0</v>
      </c>
      <c r="AN178" s="4">
        <v>0.156</v>
      </c>
      <c r="AO178" s="5">
        <f t="shared" si="37"/>
        <v>0.99848197343453515</v>
      </c>
      <c r="AP178" s="8">
        <f t="shared" si="38"/>
        <v>8</v>
      </c>
      <c r="AQ178" s="6">
        <f t="shared" si="44"/>
        <v>4.2780748663101602E-2</v>
      </c>
      <c r="AR178" s="5">
        <f t="shared" si="39"/>
        <v>1</v>
      </c>
      <c r="AS178" s="5">
        <f t="shared" si="40"/>
        <v>2.7091093802912292E-2</v>
      </c>
      <c r="AT178" s="5">
        <f t="shared" si="45"/>
        <v>0.16814099559037082</v>
      </c>
      <c r="AU178" s="5">
        <f t="shared" si="42"/>
        <v>0.14194464158978309</v>
      </c>
      <c r="AV178" s="4">
        <f t="shared" si="46"/>
        <v>0</v>
      </c>
      <c r="AW178" s="4">
        <f t="shared" si="47"/>
        <v>0</v>
      </c>
      <c r="AX178" s="4">
        <f t="shared" si="48"/>
        <v>0</v>
      </c>
      <c r="AY178" s="4">
        <f t="shared" si="49"/>
        <v>5</v>
      </c>
      <c r="AZ178" s="4">
        <f t="shared" si="41"/>
        <v>0</v>
      </c>
    </row>
    <row r="179" spans="1:52" x14ac:dyDescent="0.3">
      <c r="A179" s="4" t="s">
        <v>52</v>
      </c>
      <c r="B179" s="4" t="s">
        <v>61</v>
      </c>
      <c r="C179" s="4" t="s">
        <v>54</v>
      </c>
      <c r="D179" s="4" t="s">
        <v>63</v>
      </c>
      <c r="E179" s="4" t="s">
        <v>55</v>
      </c>
      <c r="F179" s="4">
        <v>2</v>
      </c>
      <c r="G179" s="4">
        <v>0.04</v>
      </c>
      <c r="H179" s="4" t="b">
        <v>0</v>
      </c>
      <c r="I179" s="4" t="b">
        <v>1</v>
      </c>
      <c r="J179" s="4" t="b">
        <v>0</v>
      </c>
      <c r="K179" s="4">
        <v>2.9529999999999998</v>
      </c>
      <c r="L179" s="4">
        <v>5.1999999999999998E-2</v>
      </c>
      <c r="M179" s="4">
        <v>-5.8000000000000003E-2</v>
      </c>
      <c r="N179" s="4">
        <v>55.4</v>
      </c>
      <c r="O179" s="4">
        <v>0.14399999999999999</v>
      </c>
      <c r="P179" s="4">
        <v>5.0000000000000001E-3</v>
      </c>
      <c r="Q179" s="5">
        <v>1E-3</v>
      </c>
      <c r="R179" s="5">
        <v>0.18</v>
      </c>
      <c r="S179" s="9">
        <v>2487.2150000000001</v>
      </c>
      <c r="T179" s="4">
        <v>1838.375</v>
      </c>
      <c r="U179" s="4">
        <v>1.4079999999999999</v>
      </c>
      <c r="V179" s="4">
        <v>2.1120000000000001</v>
      </c>
      <c r="W179" s="4">
        <v>1.5669999999999999</v>
      </c>
      <c r="X179" s="4">
        <v>3.6760000000000002</v>
      </c>
      <c r="Y179" s="4">
        <v>8.7650000000000006</v>
      </c>
      <c r="Z179" s="8">
        <v>5261</v>
      </c>
      <c r="AA179" s="8">
        <v>5270</v>
      </c>
      <c r="AB179" s="4">
        <v>5270</v>
      </c>
      <c r="AC179" s="4">
        <v>0.06</v>
      </c>
      <c r="AD179" s="5">
        <v>0.04</v>
      </c>
      <c r="AE179" s="16">
        <v>-3.0000000000000001E-3</v>
      </c>
      <c r="AF179" s="4">
        <v>-2.5989999999999999E-2</v>
      </c>
      <c r="AG179" s="4">
        <v>1.1010000000000001E-2</v>
      </c>
      <c r="AH179" s="4">
        <v>-0.14000000000000001</v>
      </c>
      <c r="AI179" s="4">
        <v>-0.15676000000000001</v>
      </c>
      <c r="AJ179" s="4">
        <v>8.9999999999999998E-4</v>
      </c>
      <c r="AK179" s="4">
        <v>-5.9000000000000003E-4</v>
      </c>
      <c r="AL179" s="4">
        <v>0</v>
      </c>
      <c r="AM179" s="4">
        <v>0</v>
      </c>
      <c r="AN179" s="4">
        <v>0.123</v>
      </c>
      <c r="AO179" s="5">
        <f t="shared" si="37"/>
        <v>0.99829222011385199</v>
      </c>
      <c r="AP179" s="8">
        <f t="shared" si="38"/>
        <v>9</v>
      </c>
      <c r="AQ179" s="6">
        <f t="shared" si="44"/>
        <v>4.8128342245989303E-2</v>
      </c>
      <c r="AR179" s="5">
        <f t="shared" si="39"/>
        <v>1</v>
      </c>
      <c r="AS179" s="5">
        <f t="shared" si="40"/>
        <v>3.0477480528276327E-2</v>
      </c>
      <c r="AT179" s="5">
        <f t="shared" si="45"/>
        <v>0.15515317811016366</v>
      </c>
      <c r="AU179" s="5">
        <f t="shared" si="42"/>
        <v>7.4521201281762858E-2</v>
      </c>
      <c r="AV179" s="4">
        <f t="shared" si="46"/>
        <v>0</v>
      </c>
      <c r="AW179" s="4">
        <f t="shared" si="47"/>
        <v>0</v>
      </c>
      <c r="AX179" s="4">
        <f t="shared" si="48"/>
        <v>0</v>
      </c>
      <c r="AY179" s="4">
        <f t="shared" si="49"/>
        <v>5</v>
      </c>
      <c r="AZ179" s="4">
        <f t="shared" si="41"/>
        <v>0</v>
      </c>
    </row>
    <row r="180" spans="1:52" x14ac:dyDescent="0.3">
      <c r="A180" s="4" t="s">
        <v>52</v>
      </c>
      <c r="B180" s="4" t="s">
        <v>61</v>
      </c>
      <c r="C180" s="4" t="s">
        <v>54</v>
      </c>
      <c r="D180" s="4" t="s">
        <v>63</v>
      </c>
      <c r="E180" s="4" t="s">
        <v>55</v>
      </c>
      <c r="F180" s="4">
        <v>2</v>
      </c>
      <c r="G180" s="4">
        <v>0.04</v>
      </c>
      <c r="H180" s="4" t="b">
        <v>0</v>
      </c>
      <c r="I180" s="4" t="b">
        <v>1</v>
      </c>
      <c r="J180" s="4" t="b">
        <v>0</v>
      </c>
      <c r="K180" s="4">
        <v>2.9529999999999998</v>
      </c>
      <c r="L180" s="4">
        <v>5.1999999999999998E-2</v>
      </c>
      <c r="M180" s="4">
        <v>-5.8000000000000003E-2</v>
      </c>
      <c r="N180" s="4">
        <v>121.965</v>
      </c>
      <c r="O180" s="4">
        <v>7.3999999999999996E-2</v>
      </c>
      <c r="P180" s="4">
        <v>5.0000000000000001E-3</v>
      </c>
      <c r="Q180" s="5">
        <v>1E-3</v>
      </c>
      <c r="R180" s="5">
        <v>0.18</v>
      </c>
      <c r="S180" s="9">
        <v>2502.5590000000002</v>
      </c>
      <c r="T180" s="4">
        <v>1838.375</v>
      </c>
      <c r="U180" s="4">
        <v>1.8009999999999999</v>
      </c>
      <c r="V180" s="4">
        <v>2.093</v>
      </c>
      <c r="W180" s="4">
        <v>2.004</v>
      </c>
      <c r="X180" s="4">
        <v>3.4670000000000001</v>
      </c>
      <c r="Y180" s="4">
        <v>9.3670000000000009</v>
      </c>
      <c r="Z180" s="8">
        <v>5261</v>
      </c>
      <c r="AA180" s="8">
        <v>5270</v>
      </c>
      <c r="AB180" s="4">
        <v>5270</v>
      </c>
      <c r="AC180" s="4">
        <v>0.06</v>
      </c>
      <c r="AD180" s="5">
        <v>4.4999999999999998E-2</v>
      </c>
      <c r="AE180" s="16">
        <v>1.4999999999999999E-2</v>
      </c>
      <c r="AF180" s="4">
        <v>-1.328E-2</v>
      </c>
      <c r="AG180" s="4">
        <v>4.6719999999999998E-2</v>
      </c>
      <c r="AH180" s="4">
        <v>-0.1</v>
      </c>
      <c r="AI180" s="4">
        <v>-0.11284</v>
      </c>
      <c r="AJ180" s="4">
        <v>2.8600000000000001E-3</v>
      </c>
      <c r="AK180" s="4">
        <v>6.2E-4</v>
      </c>
      <c r="AL180" s="4">
        <v>0</v>
      </c>
      <c r="AM180" s="4">
        <v>0</v>
      </c>
      <c r="AN180" s="4">
        <v>0.14899999999999999</v>
      </c>
      <c r="AO180" s="5">
        <f t="shared" si="37"/>
        <v>0.99829222011385199</v>
      </c>
      <c r="AP180" s="8">
        <f t="shared" si="38"/>
        <v>9</v>
      </c>
      <c r="AQ180" s="6">
        <f t="shared" si="44"/>
        <v>4.8128342245989303E-2</v>
      </c>
      <c r="AR180" s="5">
        <f t="shared" si="39"/>
        <v>1</v>
      </c>
      <c r="AS180" s="5">
        <f t="shared" si="40"/>
        <v>3.0477480528276327E-2</v>
      </c>
      <c r="AT180" s="5">
        <f t="shared" si="45"/>
        <v>0.11410227499029497</v>
      </c>
      <c r="AU180" s="5">
        <f t="shared" si="42"/>
        <v>0</v>
      </c>
      <c r="AV180" s="4">
        <f t="shared" si="46"/>
        <v>0</v>
      </c>
      <c r="AW180" s="4">
        <f t="shared" si="47"/>
        <v>0</v>
      </c>
      <c r="AX180" s="4">
        <f t="shared" si="48"/>
        <v>0</v>
      </c>
      <c r="AY180" s="4">
        <f t="shared" si="49"/>
        <v>5</v>
      </c>
      <c r="AZ180" s="4">
        <f t="shared" si="41"/>
        <v>0</v>
      </c>
    </row>
    <row r="181" spans="1:52" x14ac:dyDescent="0.3">
      <c r="A181" s="4" t="s">
        <v>52</v>
      </c>
      <c r="B181" s="4" t="s">
        <v>61</v>
      </c>
      <c r="C181" s="4" t="s">
        <v>54</v>
      </c>
      <c r="D181" s="4" t="s">
        <v>57</v>
      </c>
      <c r="E181" s="4" t="s">
        <v>55</v>
      </c>
      <c r="F181" s="4">
        <v>2</v>
      </c>
      <c r="G181" s="4">
        <v>0.04</v>
      </c>
      <c r="H181" s="4" t="b">
        <v>0</v>
      </c>
      <c r="I181" s="4" t="b">
        <v>1</v>
      </c>
      <c r="J181" s="4" t="b">
        <v>0</v>
      </c>
      <c r="K181" s="4">
        <v>2.9529999999999998</v>
      </c>
      <c r="L181" s="4">
        <v>5.1999999999999998E-2</v>
      </c>
      <c r="M181" s="4">
        <v>-5.8000000000000003E-2</v>
      </c>
      <c r="N181" s="4">
        <v>0</v>
      </c>
      <c r="O181" s="4">
        <v>0</v>
      </c>
      <c r="P181" s="4">
        <v>5.0000000000000001E-3</v>
      </c>
      <c r="Q181" s="5">
        <v>1E-3</v>
      </c>
      <c r="R181" s="5">
        <v>0.18</v>
      </c>
      <c r="S181" s="9">
        <v>2515.6039999999998</v>
      </c>
      <c r="T181" s="4">
        <v>1838.375</v>
      </c>
      <c r="U181" s="4">
        <v>1.4430000000000001</v>
      </c>
      <c r="V181" s="4">
        <v>2.0830000000000002</v>
      </c>
      <c r="W181" s="4">
        <v>2.8340000000000001</v>
      </c>
      <c r="X181" s="4">
        <v>3.4790000000000001</v>
      </c>
      <c r="Y181" s="4">
        <v>9.84</v>
      </c>
      <c r="Z181" s="8">
        <v>5262</v>
      </c>
      <c r="AA181" s="8">
        <v>5270</v>
      </c>
      <c r="AB181" s="4">
        <v>5270</v>
      </c>
      <c r="AC181" s="4">
        <v>0.06</v>
      </c>
      <c r="AD181" s="5">
        <v>4.4999999999999998E-2</v>
      </c>
      <c r="AE181" s="16">
        <v>3.1E-2</v>
      </c>
      <c r="AF181" s="4">
        <v>0</v>
      </c>
      <c r="AG181" s="4">
        <v>7.5999999999999998E-2</v>
      </c>
      <c r="AH181" s="4">
        <v>-0.02</v>
      </c>
      <c r="AI181" s="4">
        <v>-5.774E-2</v>
      </c>
      <c r="AJ181" s="4">
        <v>4.2199999999999998E-3</v>
      </c>
      <c r="AK181" s="4">
        <v>1.81E-3</v>
      </c>
      <c r="AL181" s="4">
        <v>0</v>
      </c>
      <c r="AM181" s="4">
        <v>0</v>
      </c>
      <c r="AN181" s="4">
        <v>0.222</v>
      </c>
      <c r="AO181" s="5">
        <f t="shared" si="37"/>
        <v>0.99848197343453515</v>
      </c>
      <c r="AP181" s="8">
        <f t="shared" si="38"/>
        <v>8</v>
      </c>
      <c r="AQ181" s="6">
        <f t="shared" si="44"/>
        <v>4.2780748663101602E-2</v>
      </c>
      <c r="AR181" s="5">
        <f t="shared" si="39"/>
        <v>1</v>
      </c>
      <c r="AS181" s="5">
        <f t="shared" si="40"/>
        <v>2.7091093802912292E-2</v>
      </c>
      <c r="AT181" s="5">
        <f t="shared" si="45"/>
        <v>5.7856990139420875E-2</v>
      </c>
      <c r="AU181" s="5">
        <f t="shared" si="42"/>
        <v>-7.6657723265621258E-2</v>
      </c>
      <c r="AV181" s="4">
        <f t="shared" si="46"/>
        <v>0</v>
      </c>
      <c r="AW181" s="4">
        <f t="shared" si="47"/>
        <v>0</v>
      </c>
      <c r="AX181" s="4">
        <f t="shared" si="48"/>
        <v>0</v>
      </c>
      <c r="AY181" s="4">
        <f t="shared" si="49"/>
        <v>5</v>
      </c>
      <c r="AZ181" s="4">
        <f t="shared" si="41"/>
        <v>0</v>
      </c>
    </row>
    <row r="182" spans="1:52" x14ac:dyDescent="0.3">
      <c r="A182" s="4" t="s">
        <v>52</v>
      </c>
      <c r="B182" s="4" t="s">
        <v>61</v>
      </c>
      <c r="C182" s="4" t="s">
        <v>54</v>
      </c>
      <c r="D182" s="4" t="s">
        <v>57</v>
      </c>
      <c r="E182" s="4" t="s">
        <v>55</v>
      </c>
      <c r="F182" s="4">
        <v>2</v>
      </c>
      <c r="G182" s="4">
        <v>0.04</v>
      </c>
      <c r="H182" s="4" t="b">
        <v>0</v>
      </c>
      <c r="I182" s="4" t="b">
        <v>1</v>
      </c>
      <c r="J182" s="4" t="b">
        <v>0</v>
      </c>
      <c r="K182" s="4">
        <v>2.9529999999999998</v>
      </c>
      <c r="L182" s="4">
        <v>5.1999999999999998E-2</v>
      </c>
      <c r="M182" s="4">
        <v>-5.8000000000000003E-2</v>
      </c>
      <c r="N182" s="4">
        <v>-108.157</v>
      </c>
      <c r="O182" s="4">
        <v>-7.3999999999999996E-2</v>
      </c>
      <c r="P182" s="4">
        <v>5.0000000000000001E-3</v>
      </c>
      <c r="Q182" s="5">
        <v>1E-3</v>
      </c>
      <c r="R182" s="5">
        <v>0.18</v>
      </c>
      <c r="S182" s="9">
        <v>2529.0940000000001</v>
      </c>
      <c r="T182" s="4">
        <v>1838.375</v>
      </c>
      <c r="U182" s="4">
        <v>1.323</v>
      </c>
      <c r="V182" s="4">
        <v>1.9870000000000001</v>
      </c>
      <c r="W182" s="4">
        <v>1.286</v>
      </c>
      <c r="X182" s="4">
        <v>3.0209999999999999</v>
      </c>
      <c r="Y182" s="4">
        <v>7.6189999999999998</v>
      </c>
      <c r="Z182" s="8">
        <v>5264</v>
      </c>
      <c r="AA182" s="8">
        <v>5270</v>
      </c>
      <c r="AB182" s="4">
        <v>5270</v>
      </c>
      <c r="AC182" s="4">
        <v>0.06</v>
      </c>
      <c r="AD182" s="5">
        <v>0.04</v>
      </c>
      <c r="AE182" s="16">
        <v>4.2999999999999997E-2</v>
      </c>
      <c r="AF182" s="4">
        <v>-1.3310000000000001E-2</v>
      </c>
      <c r="AG182" s="4">
        <v>6.9690000000000002E-2</v>
      </c>
      <c r="AH182" s="4">
        <v>0.04</v>
      </c>
      <c r="AI182" s="4">
        <v>0</v>
      </c>
      <c r="AJ182" s="4">
        <v>4.28E-3</v>
      </c>
      <c r="AK182" s="4">
        <v>2.65E-3</v>
      </c>
      <c r="AL182" s="4">
        <v>0</v>
      </c>
      <c r="AM182" s="4">
        <v>0</v>
      </c>
      <c r="AN182" s="4">
        <v>0.22900000000000001</v>
      </c>
      <c r="AO182" s="5">
        <f t="shared" si="37"/>
        <v>0.99886148007590136</v>
      </c>
      <c r="AP182" s="8">
        <f t="shared" si="38"/>
        <v>6</v>
      </c>
      <c r="AQ182" s="6">
        <f t="shared" si="44"/>
        <v>3.2085561497326207E-2</v>
      </c>
      <c r="AR182" s="5">
        <f t="shared" si="39"/>
        <v>1</v>
      </c>
      <c r="AS182" s="5">
        <f t="shared" si="40"/>
        <v>2.031832035218422E-2</v>
      </c>
      <c r="AT182" s="5">
        <f t="shared" si="45"/>
        <v>-1.6899698519798445E-3</v>
      </c>
      <c r="AU182" s="5">
        <f t="shared" si="42"/>
        <v>-0.14825796886582393</v>
      </c>
      <c r="AV182" s="4">
        <f t="shared" si="46"/>
        <v>0</v>
      </c>
      <c r="AW182" s="4">
        <f t="shared" si="47"/>
        <v>0</v>
      </c>
      <c r="AX182" s="4">
        <f t="shared" si="48"/>
        <v>0</v>
      </c>
      <c r="AY182" s="4">
        <f t="shared" si="49"/>
        <v>5</v>
      </c>
      <c r="AZ182" s="4">
        <f t="shared" si="41"/>
        <v>0</v>
      </c>
    </row>
    <row r="183" spans="1:52" s="11" customFormat="1" x14ac:dyDescent="0.3">
      <c r="A183" s="11" t="s">
        <v>52</v>
      </c>
      <c r="B183" s="11" t="s">
        <v>61</v>
      </c>
      <c r="C183" s="11" t="s">
        <v>54</v>
      </c>
      <c r="D183" s="11" t="s">
        <v>57</v>
      </c>
      <c r="E183" s="11" t="s">
        <v>55</v>
      </c>
      <c r="F183" s="11">
        <v>2</v>
      </c>
      <c r="G183" s="11">
        <v>0.04</v>
      </c>
      <c r="H183" s="11" t="b">
        <v>0</v>
      </c>
      <c r="I183" s="11" t="b">
        <v>1</v>
      </c>
      <c r="J183" s="11" t="b">
        <v>0</v>
      </c>
      <c r="K183" s="11">
        <v>2.9529999999999998</v>
      </c>
      <c r="L183" s="11">
        <v>5.1999999999999998E-2</v>
      </c>
      <c r="M183" s="11">
        <v>-5.8000000000000003E-2</v>
      </c>
      <c r="N183" s="11">
        <v>-33.893000000000001</v>
      </c>
      <c r="O183" s="11">
        <v>-0.17699999999999999</v>
      </c>
      <c r="P183" s="11">
        <v>5.0000000000000001E-3</v>
      </c>
      <c r="Q183" s="12">
        <v>1E-3</v>
      </c>
      <c r="R183" s="12">
        <v>0.18</v>
      </c>
      <c r="S183" s="13">
        <v>2540.3969999999999</v>
      </c>
      <c r="T183" s="11">
        <v>1838.375</v>
      </c>
      <c r="U183" s="11">
        <v>1.329</v>
      </c>
      <c r="V183" s="11">
        <v>2.0139999999999998</v>
      </c>
      <c r="W183" s="11">
        <v>1.2729999999999999</v>
      </c>
      <c r="X183" s="11">
        <v>3.2229999999999999</v>
      </c>
      <c r="Y183" s="11">
        <v>7.8410000000000002</v>
      </c>
      <c r="Z183" s="11">
        <v>5266</v>
      </c>
      <c r="AA183" s="11">
        <v>5270</v>
      </c>
      <c r="AB183" s="11">
        <v>5270</v>
      </c>
      <c r="AC183" s="11">
        <v>0.06</v>
      </c>
      <c r="AD183" s="12">
        <v>0.03</v>
      </c>
      <c r="AE183" s="12">
        <v>5.0999999999999997E-2</v>
      </c>
      <c r="AF183" s="11">
        <v>-3.1859999999999999E-2</v>
      </c>
      <c r="AG183" s="11">
        <v>4.9140000000000003E-2</v>
      </c>
      <c r="AH183" s="11">
        <v>0.08</v>
      </c>
      <c r="AI183" s="11">
        <v>6.0060000000000002E-2</v>
      </c>
      <c r="AJ183" s="11">
        <v>5.3099999999999996E-3</v>
      </c>
      <c r="AK183" s="11">
        <v>3.4399999999999999E-3</v>
      </c>
      <c r="AL183" s="11">
        <v>0</v>
      </c>
      <c r="AM183" s="11">
        <v>0</v>
      </c>
      <c r="AN183" s="11">
        <v>0.17100000000000001</v>
      </c>
      <c r="AO183" s="12">
        <f t="shared" si="37"/>
        <v>0.99924098671726758</v>
      </c>
      <c r="AP183" s="11">
        <f t="shared" si="38"/>
        <v>4</v>
      </c>
      <c r="AQ183" s="14">
        <f t="shared" si="44"/>
        <v>2.1390374331550801E-2</v>
      </c>
      <c r="AR183" s="12">
        <f t="shared" si="39"/>
        <v>1</v>
      </c>
      <c r="AS183" s="12">
        <f t="shared" si="40"/>
        <v>1.3545546901456146E-2</v>
      </c>
      <c r="AT183" s="12">
        <f t="shared" si="45"/>
        <v>-6.5467732992550293E-2</v>
      </c>
      <c r="AU183" s="12">
        <f t="shared" si="42"/>
        <v>-0.17694417411306915</v>
      </c>
      <c r="AV183" s="11">
        <f t="shared" si="46"/>
        <v>0</v>
      </c>
      <c r="AW183" s="11">
        <f t="shared" si="47"/>
        <v>0</v>
      </c>
      <c r="AX183" s="11">
        <f t="shared" si="48"/>
        <v>0</v>
      </c>
      <c r="AY183" s="11">
        <f t="shared" si="49"/>
        <v>5</v>
      </c>
      <c r="AZ183" s="11">
        <f t="shared" si="41"/>
        <v>5</v>
      </c>
    </row>
    <row r="184" spans="1:52" x14ac:dyDescent="0.3">
      <c r="A184" s="4" t="s">
        <v>52</v>
      </c>
      <c r="B184" s="4" t="s">
        <v>61</v>
      </c>
      <c r="C184" s="4" t="s">
        <v>54</v>
      </c>
      <c r="D184" s="4" t="s">
        <v>57</v>
      </c>
      <c r="E184" s="4" t="s">
        <v>55</v>
      </c>
      <c r="F184" s="4">
        <v>2</v>
      </c>
      <c r="G184" s="4">
        <v>0.04</v>
      </c>
      <c r="H184" s="4" t="b">
        <v>0</v>
      </c>
      <c r="I184" s="4" t="b">
        <v>1</v>
      </c>
      <c r="J184" s="4" t="b">
        <v>0</v>
      </c>
      <c r="K184" s="4">
        <v>2.9529999999999998</v>
      </c>
      <c r="L184" s="4">
        <v>5.1999999999999998E-2</v>
      </c>
      <c r="M184" s="4">
        <v>-5.8000000000000003E-2</v>
      </c>
      <c r="N184" s="4">
        <v>-22.986999999999998</v>
      </c>
      <c r="O184" s="4">
        <v>-0.17399999999999999</v>
      </c>
      <c r="P184" s="4">
        <v>5.0000000000000001E-3</v>
      </c>
      <c r="Q184" s="5">
        <v>1E-3</v>
      </c>
      <c r="R184" s="5">
        <v>0.18</v>
      </c>
      <c r="S184" s="9">
        <v>2551.895</v>
      </c>
      <c r="T184" s="4">
        <v>1838.375</v>
      </c>
      <c r="U184" s="4">
        <v>1.3260000000000001</v>
      </c>
      <c r="V184" s="4">
        <v>2.2189999999999999</v>
      </c>
      <c r="W184" s="4">
        <v>1.363</v>
      </c>
      <c r="X184" s="4">
        <v>3.327</v>
      </c>
      <c r="Y184" s="4">
        <v>8.2370000000000001</v>
      </c>
      <c r="Z184" s="8">
        <v>5268</v>
      </c>
      <c r="AA184" s="8">
        <v>5270</v>
      </c>
      <c r="AB184" s="4">
        <v>5270</v>
      </c>
      <c r="AC184" s="4">
        <v>0.06</v>
      </c>
      <c r="AD184" s="5">
        <v>0.02</v>
      </c>
      <c r="AE184" s="16">
        <v>5.3999999999999999E-2</v>
      </c>
      <c r="AF184" s="4">
        <v>-3.1320000000000001E-2</v>
      </c>
      <c r="AG184" s="4">
        <v>4.2680000000000003E-2</v>
      </c>
      <c r="AH184" s="4">
        <v>0.12</v>
      </c>
      <c r="AI184" s="4">
        <v>0.10823000000000001</v>
      </c>
      <c r="AJ184" s="4">
        <v>4.1900000000000001E-3</v>
      </c>
      <c r="AK184" s="4">
        <v>4.1000000000000003E-3</v>
      </c>
      <c r="AL184" s="4">
        <v>0</v>
      </c>
      <c r="AM184" s="4">
        <v>0</v>
      </c>
      <c r="AN184" s="4">
        <v>0.112</v>
      </c>
      <c r="AO184" s="5">
        <f t="shared" si="37"/>
        <v>0.99962049335863379</v>
      </c>
      <c r="AP184" s="8">
        <f t="shared" si="38"/>
        <v>2</v>
      </c>
      <c r="AQ184" s="6">
        <f t="shared" si="44"/>
        <v>1.06951871657754E-2</v>
      </c>
      <c r="AR184" s="5">
        <f t="shared" si="39"/>
        <v>1</v>
      </c>
      <c r="AS184" s="5">
        <f t="shared" si="40"/>
        <v>6.7727734507280731E-3</v>
      </c>
      <c r="AT184" s="5">
        <f t="shared" si="45"/>
        <v>-0.11516063214610224</v>
      </c>
      <c r="AU184" s="5">
        <f t="shared" si="42"/>
        <v>-0.17394329448599685</v>
      </c>
      <c r="AV184" s="4">
        <f t="shared" si="46"/>
        <v>0</v>
      </c>
      <c r="AW184" s="4">
        <f t="shared" si="47"/>
        <v>0</v>
      </c>
      <c r="AX184" s="4">
        <f t="shared" si="48"/>
        <v>0</v>
      </c>
      <c r="AY184" s="4">
        <f t="shared" si="49"/>
        <v>5</v>
      </c>
      <c r="AZ184" s="4">
        <f t="shared" si="41"/>
        <v>5</v>
      </c>
    </row>
    <row r="185" spans="1:52" x14ac:dyDescent="0.3">
      <c r="A185" s="4" t="s">
        <v>52</v>
      </c>
      <c r="B185" s="4" t="s">
        <v>61</v>
      </c>
      <c r="C185" s="4" t="s">
        <v>54</v>
      </c>
      <c r="D185" s="4" t="s">
        <v>57</v>
      </c>
      <c r="E185" s="4" t="s">
        <v>55</v>
      </c>
      <c r="F185" s="4">
        <v>2</v>
      </c>
      <c r="G185" s="4">
        <v>0.04</v>
      </c>
      <c r="H185" s="4" t="b">
        <v>0</v>
      </c>
      <c r="I185" s="4" t="b">
        <v>1</v>
      </c>
      <c r="J185" s="4" t="b">
        <v>0</v>
      </c>
      <c r="K185" s="4">
        <v>2.9529999999999998</v>
      </c>
      <c r="L185" s="4">
        <v>5.1999999999999998E-2</v>
      </c>
      <c r="M185" s="4">
        <v>-5.8000000000000003E-2</v>
      </c>
      <c r="N185" s="4">
        <v>-11.901</v>
      </c>
      <c r="O185" s="4">
        <v>-0.16800000000000001</v>
      </c>
      <c r="P185" s="4">
        <v>5.0000000000000001E-3</v>
      </c>
      <c r="Q185" s="5">
        <v>1E-3</v>
      </c>
      <c r="R185" s="5">
        <v>0.18</v>
      </c>
      <c r="S185" s="9">
        <v>2564.127</v>
      </c>
      <c r="T185" s="4">
        <v>1838.375</v>
      </c>
      <c r="U185" s="4">
        <v>1.474</v>
      </c>
      <c r="V185" s="4">
        <v>2.125</v>
      </c>
      <c r="W185" s="4">
        <v>1.472</v>
      </c>
      <c r="X185" s="4">
        <v>3.1819999999999999</v>
      </c>
      <c r="Y185" s="4">
        <v>8.2550000000000008</v>
      </c>
      <c r="Z185" s="8">
        <v>5269</v>
      </c>
      <c r="AA185" s="8">
        <v>5270</v>
      </c>
      <c r="AB185" s="4">
        <v>5270</v>
      </c>
      <c r="AC185" s="4">
        <v>0.06</v>
      </c>
      <c r="AD185" s="5">
        <v>0.01</v>
      </c>
      <c r="AE185" s="16">
        <v>5.1999999999999998E-2</v>
      </c>
      <c r="AF185" s="4">
        <v>-3.0249999999999999E-2</v>
      </c>
      <c r="AG185" s="4">
        <v>3.175E-2</v>
      </c>
      <c r="AH185" s="4">
        <v>0.14000000000000001</v>
      </c>
      <c r="AI185" s="4">
        <v>0.12994</v>
      </c>
      <c r="AJ185" s="4">
        <v>1.7799999999999999E-3</v>
      </c>
      <c r="AK185" s="4">
        <v>3.9399999999999999E-3</v>
      </c>
      <c r="AL185" s="4">
        <v>0</v>
      </c>
      <c r="AM185" s="4">
        <v>0</v>
      </c>
      <c r="AN185" s="4">
        <v>7.1999999999999995E-2</v>
      </c>
      <c r="AO185" s="5">
        <f t="shared" si="37"/>
        <v>0.99981024667931684</v>
      </c>
      <c r="AP185" s="8">
        <f t="shared" si="38"/>
        <v>1</v>
      </c>
      <c r="AQ185" s="6">
        <f t="shared" si="44"/>
        <v>5.3475935828877002E-3</v>
      </c>
      <c r="AR185" s="5">
        <f t="shared" si="39"/>
        <v>1</v>
      </c>
      <c r="AS185" s="5">
        <f t="shared" si="40"/>
        <v>3.3863867253640365E-3</v>
      </c>
      <c r="AT185" s="5">
        <f t="shared" si="45"/>
        <v>-0.13151118806500353</v>
      </c>
      <c r="AU185" s="5">
        <f t="shared" si="42"/>
        <v>-8.1752779594506414E-2</v>
      </c>
      <c r="AV185" s="4">
        <f t="shared" si="46"/>
        <v>0</v>
      </c>
      <c r="AW185" s="4">
        <f t="shared" si="47"/>
        <v>0</v>
      </c>
      <c r="AX185" s="4">
        <f t="shared" si="48"/>
        <v>0</v>
      </c>
      <c r="AY185" s="4">
        <f t="shared" si="49"/>
        <v>5</v>
      </c>
      <c r="AZ185" s="4">
        <f t="shared" si="41"/>
        <v>5</v>
      </c>
    </row>
    <row r="186" spans="1:52" x14ac:dyDescent="0.3">
      <c r="A186" s="4" t="s">
        <v>52</v>
      </c>
      <c r="B186" s="4" t="s">
        <v>61</v>
      </c>
      <c r="C186" s="4" t="s">
        <v>54</v>
      </c>
      <c r="D186" s="4" t="s">
        <v>57</v>
      </c>
      <c r="E186" s="4" t="s">
        <v>55</v>
      </c>
      <c r="F186" s="4">
        <v>2</v>
      </c>
      <c r="G186" s="4">
        <v>0.04</v>
      </c>
      <c r="H186" s="4" t="b">
        <v>0</v>
      </c>
      <c r="I186" s="4" t="b">
        <v>1</v>
      </c>
      <c r="J186" s="4" t="b">
        <v>0</v>
      </c>
      <c r="K186" s="4">
        <v>2.9529999999999998</v>
      </c>
      <c r="L186" s="4">
        <v>5.1999999999999998E-2</v>
      </c>
      <c r="M186" s="4">
        <v>-5.8000000000000003E-2</v>
      </c>
      <c r="N186" s="4">
        <v>-12.249000000000001</v>
      </c>
      <c r="O186" s="4">
        <v>-8.2000000000000003E-2</v>
      </c>
      <c r="P186" s="4">
        <v>5.0000000000000001E-3</v>
      </c>
      <c r="Q186" s="5">
        <v>1E-3</v>
      </c>
      <c r="R186" s="5">
        <v>0.18</v>
      </c>
      <c r="S186" s="9">
        <v>2576.7800000000002</v>
      </c>
      <c r="T186" s="4">
        <v>1838.375</v>
      </c>
      <c r="U186" s="4">
        <v>1.39</v>
      </c>
      <c r="V186" s="4">
        <v>2.0680000000000001</v>
      </c>
      <c r="W186" s="4">
        <v>1.29</v>
      </c>
      <c r="X186" s="4">
        <v>3.1160000000000001</v>
      </c>
      <c r="Y186" s="4">
        <v>7.8659999999999997</v>
      </c>
      <c r="Z186" s="8">
        <v>5270</v>
      </c>
      <c r="AA186" s="8">
        <v>5270</v>
      </c>
      <c r="AB186" s="4">
        <v>5270</v>
      </c>
      <c r="AC186" s="4">
        <v>0.06</v>
      </c>
      <c r="AD186" s="5">
        <v>5.0000000000000001E-3</v>
      </c>
      <c r="AE186" s="16">
        <v>4.7E-2</v>
      </c>
      <c r="AF186" s="4">
        <v>-1.47E-2</v>
      </c>
      <c r="AG186" s="4">
        <v>3.73E-2</v>
      </c>
      <c r="AH186" s="4">
        <v>0.12</v>
      </c>
      <c r="AI186" s="4">
        <v>0.13077</v>
      </c>
      <c r="AJ186" s="4">
        <v>6.9999999999999994E-5</v>
      </c>
      <c r="AK186" s="4">
        <v>3.0799999999999998E-3</v>
      </c>
      <c r="AL186" s="4">
        <v>0</v>
      </c>
      <c r="AM186" s="4">
        <v>0</v>
      </c>
      <c r="AN186" s="4">
        <v>4.7E-2</v>
      </c>
      <c r="AO186" s="5">
        <f t="shared" si="37"/>
        <v>1</v>
      </c>
      <c r="AP186" s="8">
        <f t="shared" si="38"/>
        <v>0</v>
      </c>
      <c r="AQ186" s="6">
        <f t="shared" si="44"/>
        <v>0</v>
      </c>
      <c r="AR186" s="5">
        <f t="shared" si="39"/>
        <v>1</v>
      </c>
      <c r="AS186" s="5">
        <f t="shared" si="40"/>
        <v>0</v>
      </c>
      <c r="AT186" s="5">
        <f t="shared" si="45"/>
        <v>-0.13198617150798267</v>
      </c>
      <c r="AU186" s="5">
        <f t="shared" si="42"/>
        <v>-7.9032640480516905E-2</v>
      </c>
      <c r="AV186" s="4">
        <f t="shared" si="46"/>
        <v>0</v>
      </c>
      <c r="AW186" s="4">
        <f t="shared" si="47"/>
        <v>0</v>
      </c>
      <c r="AX186" s="4">
        <f t="shared" si="48"/>
        <v>0</v>
      </c>
      <c r="AY186" s="4">
        <f t="shared" si="49"/>
        <v>5</v>
      </c>
      <c r="AZ186" s="4">
        <f t="shared" si="41"/>
        <v>5</v>
      </c>
    </row>
    <row r="187" spans="1:52" x14ac:dyDescent="0.3">
      <c r="A187" s="4" t="s">
        <v>52</v>
      </c>
      <c r="B187" s="4" t="s">
        <v>61</v>
      </c>
      <c r="C187" s="4" t="s">
        <v>54</v>
      </c>
      <c r="D187" s="4" t="s">
        <v>57</v>
      </c>
      <c r="E187" s="4" t="s">
        <v>55</v>
      </c>
      <c r="F187" s="4">
        <v>2</v>
      </c>
      <c r="G187" s="4">
        <v>0.04</v>
      </c>
      <c r="H187" s="4" t="b">
        <v>0</v>
      </c>
      <c r="I187" s="4" t="b">
        <v>1</v>
      </c>
      <c r="J187" s="4" t="b">
        <v>0</v>
      </c>
      <c r="K187" s="4">
        <v>2.9529999999999998</v>
      </c>
      <c r="L187" s="4">
        <v>5.1999999999999998E-2</v>
      </c>
      <c r="M187" s="4">
        <v>-5.8000000000000003E-2</v>
      </c>
      <c r="N187" s="4">
        <v>0</v>
      </c>
      <c r="O187" s="4">
        <v>-8.2000000000000003E-2</v>
      </c>
      <c r="P187" s="4">
        <v>5.0000000000000001E-3</v>
      </c>
      <c r="Q187" s="5">
        <v>1E-3</v>
      </c>
      <c r="R187" s="5">
        <v>0.18</v>
      </c>
      <c r="S187" s="9">
        <v>2588.819</v>
      </c>
      <c r="T187" s="4">
        <v>1838.375</v>
      </c>
      <c r="U187" s="4">
        <v>1.33</v>
      </c>
      <c r="V187" s="4">
        <v>2.0169999999999999</v>
      </c>
      <c r="W187" s="4">
        <v>1.29</v>
      </c>
      <c r="X187" s="4">
        <v>3.4140000000000001</v>
      </c>
      <c r="Y187" s="4">
        <v>8.0540000000000003</v>
      </c>
      <c r="Z187" s="8">
        <v>5271</v>
      </c>
      <c r="AA187" s="8">
        <v>5270</v>
      </c>
      <c r="AB187" s="4">
        <v>5270</v>
      </c>
      <c r="AC187" s="4">
        <v>0.06</v>
      </c>
      <c r="AD187" s="5">
        <v>0</v>
      </c>
      <c r="AE187" s="16">
        <v>3.9E-2</v>
      </c>
      <c r="AF187" s="4">
        <v>-1.4670000000000001E-2</v>
      </c>
      <c r="AG187" s="4">
        <v>2.4330000000000001E-2</v>
      </c>
      <c r="AH187" s="4">
        <v>0.12</v>
      </c>
      <c r="AI187" s="4">
        <v>0.1172</v>
      </c>
      <c r="AJ187" s="4">
        <v>-1.1299999999999999E-3</v>
      </c>
      <c r="AK187" s="4">
        <v>1.9599999999999999E-3</v>
      </c>
      <c r="AL187" s="4">
        <v>0</v>
      </c>
      <c r="AM187" s="4">
        <v>0</v>
      </c>
      <c r="AN187" s="4">
        <v>9.0999999999999998E-2</v>
      </c>
      <c r="AO187" s="5">
        <f t="shared" si="37"/>
        <v>1.0001897533206832</v>
      </c>
      <c r="AP187" s="8">
        <f t="shared" si="38"/>
        <v>-1</v>
      </c>
      <c r="AQ187" s="6">
        <f t="shared" ref="AQ187:AQ188" si="50">AP187/MAX(AP:AP)</f>
        <v>-5.3475935828877002E-3</v>
      </c>
      <c r="AR187" s="5">
        <f t="shared" si="39"/>
        <v>1</v>
      </c>
      <c r="AS187" s="5">
        <f t="shared" si="40"/>
        <v>-3.3863867253640365E-3</v>
      </c>
      <c r="AT187" s="5">
        <f t="shared" ref="AT187:AT188" si="51">AVERAGE(AU183:AU187)</f>
        <v>-0.11894725320620285</v>
      </c>
      <c r="AU187" s="5">
        <f t="shared" si="42"/>
        <v>-8.3063377356924983E-2</v>
      </c>
      <c r="AV187" s="4">
        <f t="shared" ref="AV187:AV188" si="52">IF(B187="ACCELERATION",5,0)</f>
        <v>0</v>
      </c>
      <c r="AW187" s="4">
        <f t="shared" ref="AW187:AW188" si="53">IF(B187="CRUISING",5,0)</f>
        <v>0</v>
      </c>
      <c r="AX187" s="4">
        <f t="shared" ref="AX187:AX188" si="54">IF(B187="DECELERATION",5,0)</f>
        <v>0</v>
      </c>
      <c r="AY187" s="4">
        <f t="shared" ref="AY187:AY188" si="55">IF(B187="END",5,0)</f>
        <v>5</v>
      </c>
      <c r="AZ187" s="4">
        <f t="shared" si="41"/>
        <v>5</v>
      </c>
    </row>
    <row r="188" spans="1:52" x14ac:dyDescent="0.3">
      <c r="A188" s="4" t="s">
        <v>52</v>
      </c>
      <c r="B188" s="4" t="s">
        <v>61</v>
      </c>
      <c r="C188" s="4" t="s">
        <v>54</v>
      </c>
      <c r="D188" s="4" t="s">
        <v>63</v>
      </c>
      <c r="E188" s="4" t="s">
        <v>55</v>
      </c>
      <c r="F188" s="4">
        <v>2</v>
      </c>
      <c r="G188" s="4">
        <v>0.04</v>
      </c>
      <c r="H188" s="4" t="b">
        <v>0</v>
      </c>
      <c r="I188" s="4" t="b">
        <v>1</v>
      </c>
      <c r="J188" s="4" t="b">
        <v>0</v>
      </c>
      <c r="K188" s="4">
        <v>2.9529999999999998</v>
      </c>
      <c r="L188" s="4">
        <v>5.1999999999999998E-2</v>
      </c>
      <c r="M188" s="4">
        <v>-5.8000000000000003E-2</v>
      </c>
      <c r="N188" s="4">
        <v>12.227</v>
      </c>
      <c r="O188" s="4">
        <v>-8.2000000000000003E-2</v>
      </c>
      <c r="P188" s="4">
        <v>5.0000000000000001E-3</v>
      </c>
      <c r="Q188" s="5">
        <v>1E-3</v>
      </c>
      <c r="R188" s="5">
        <v>0.18</v>
      </c>
      <c r="S188" s="9">
        <v>2600.797</v>
      </c>
      <c r="T188" s="4">
        <v>1838.375</v>
      </c>
      <c r="U188" s="4">
        <v>1.3149999999999999</v>
      </c>
      <c r="V188" s="4">
        <v>2.0870000000000002</v>
      </c>
      <c r="W188" s="4">
        <v>1.294</v>
      </c>
      <c r="X188" s="4">
        <v>3.1779999999999999</v>
      </c>
      <c r="Y188" s="4">
        <v>7.8760000000000003</v>
      </c>
      <c r="Z188" s="8">
        <v>5271</v>
      </c>
      <c r="AA188" s="8">
        <v>5270</v>
      </c>
      <c r="AB188" s="4">
        <v>5270</v>
      </c>
      <c r="AC188" s="4">
        <v>0.06</v>
      </c>
      <c r="AD188" s="5">
        <v>-5.0000000000000001E-3</v>
      </c>
      <c r="AE188" s="16">
        <v>2.9000000000000001E-2</v>
      </c>
      <c r="AF188" s="4">
        <v>1.472E-2</v>
      </c>
      <c r="AG188" s="4">
        <v>3.8719999999999997E-2</v>
      </c>
      <c r="AH188" s="4">
        <v>0.08</v>
      </c>
      <c r="AI188" s="4">
        <v>8.2780000000000006E-2</v>
      </c>
      <c r="AJ188" s="4">
        <v>-2.8700000000000002E-3</v>
      </c>
      <c r="AK188" s="4">
        <v>3.8000000000000002E-4</v>
      </c>
      <c r="AL188" s="4">
        <v>0</v>
      </c>
      <c r="AM188" s="4">
        <v>0</v>
      </c>
      <c r="AN188" s="4">
        <v>0.105</v>
      </c>
      <c r="AO188" s="5">
        <f t="shared" si="37"/>
        <v>1.0001897533206832</v>
      </c>
      <c r="AP188" s="8">
        <f t="shared" si="38"/>
        <v>-1</v>
      </c>
      <c r="AQ188" s="6">
        <f t="shared" si="50"/>
        <v>-5.3475935828877002E-3</v>
      </c>
      <c r="AR188" s="5">
        <f t="shared" si="39"/>
        <v>1</v>
      </c>
      <c r="AS188" s="5">
        <f t="shared" si="40"/>
        <v>-3.3863867253640365E-3</v>
      </c>
      <c r="AT188" s="5">
        <f t="shared" si="51"/>
        <v>-8.3558418383589031E-2</v>
      </c>
      <c r="AU188" s="5">
        <f t="shared" si="42"/>
        <v>0</v>
      </c>
      <c r="AV188" s="4">
        <f t="shared" si="52"/>
        <v>0</v>
      </c>
      <c r="AW188" s="4">
        <f t="shared" si="53"/>
        <v>0</v>
      </c>
      <c r="AX188" s="4">
        <f t="shared" si="54"/>
        <v>0</v>
      </c>
      <c r="AY188" s="4">
        <f t="shared" si="55"/>
        <v>5</v>
      </c>
      <c r="AZ188" s="4">
        <f t="shared" si="41"/>
        <v>5</v>
      </c>
    </row>
    <row r="189" spans="1:52" x14ac:dyDescent="0.3">
      <c r="A189" s="4" t="s">
        <v>52</v>
      </c>
      <c r="B189" s="4" t="s">
        <v>61</v>
      </c>
      <c r="C189" s="4" t="s">
        <v>54</v>
      </c>
      <c r="D189" s="4" t="s">
        <v>57</v>
      </c>
      <c r="E189" s="4" t="s">
        <v>55</v>
      </c>
      <c r="F189" s="4">
        <v>2</v>
      </c>
      <c r="G189" s="4">
        <v>0.04</v>
      </c>
      <c r="H189" s="4" t="b">
        <v>0</v>
      </c>
      <c r="I189" s="4" t="b">
        <v>1</v>
      </c>
      <c r="J189" s="4" t="b">
        <v>0</v>
      </c>
      <c r="K189" s="4">
        <v>2.9529999999999998</v>
      </c>
      <c r="L189" s="4">
        <v>5.1999999999999998E-2</v>
      </c>
      <c r="M189" s="4">
        <v>-5.8000000000000003E-2</v>
      </c>
      <c r="N189" s="4">
        <v>0</v>
      </c>
      <c r="O189" s="4">
        <v>0</v>
      </c>
      <c r="P189" s="4">
        <v>5.0000000000000001E-3</v>
      </c>
      <c r="Q189" s="5">
        <v>1E-3</v>
      </c>
      <c r="R189" s="5">
        <v>0.18</v>
      </c>
      <c r="S189" s="9">
        <v>2612.8539999999998</v>
      </c>
      <c r="T189" s="4">
        <v>1838.375</v>
      </c>
      <c r="U189" s="4">
        <v>1.391</v>
      </c>
      <c r="V189" s="4">
        <v>2.0830000000000002</v>
      </c>
      <c r="W189" s="4">
        <v>1.613</v>
      </c>
      <c r="X189" s="4">
        <v>3.1539999999999999</v>
      </c>
      <c r="Y189" s="4">
        <v>8.2439999999999998</v>
      </c>
      <c r="Z189" s="8">
        <v>5271</v>
      </c>
      <c r="AA189" s="8">
        <v>5270</v>
      </c>
      <c r="AB189" s="4">
        <v>5270</v>
      </c>
      <c r="AC189" s="4">
        <v>0.06</v>
      </c>
      <c r="AD189" s="5">
        <v>-5.0000000000000001E-3</v>
      </c>
      <c r="AE189" s="16">
        <v>1.9E-2</v>
      </c>
      <c r="AF189" s="4">
        <v>0</v>
      </c>
      <c r="AG189" s="4">
        <v>1.4E-2</v>
      </c>
      <c r="AH189" s="4">
        <v>0.06</v>
      </c>
      <c r="AI189" s="4">
        <v>4.9209999999999997E-2</v>
      </c>
      <c r="AJ189" s="4">
        <v>-2.7799999999999999E-3</v>
      </c>
      <c r="AK189" s="4">
        <v>-9.7000000000000005E-4</v>
      </c>
      <c r="AL189" s="4">
        <v>0</v>
      </c>
      <c r="AM189" s="4">
        <v>0</v>
      </c>
      <c r="AN189" s="4">
        <v>0.182</v>
      </c>
      <c r="AO189" s="5">
        <f t="shared" ref="AO189:AO198" si="56">Z189/AA189</f>
        <v>1.0001897533206832</v>
      </c>
      <c r="AP189" s="8">
        <f t="shared" ref="AP189:AP198" si="57">AB189-Z189</f>
        <v>-1</v>
      </c>
      <c r="AQ189" s="6">
        <f t="shared" ref="AQ189:AQ198" si="58">AP189/MAX(AP:AP)</f>
        <v>-5.3475935828877002E-3</v>
      </c>
      <c r="AR189" s="5">
        <f t="shared" ref="AR189:AR198" si="59">AB189/AA189</f>
        <v>1</v>
      </c>
      <c r="AS189" s="5">
        <f t="shared" ref="AS189:AS198" si="60">AP189/(100*K189)</f>
        <v>-3.3863867253640365E-3</v>
      </c>
      <c r="AT189" s="5">
        <f t="shared" ref="AT189:AT198" si="61">AVERAGE(AU185:AU189)</f>
        <v>-4.8769759486389661E-2</v>
      </c>
      <c r="AU189" s="5">
        <f t="shared" ref="AU189:AU198" si="62">(AP189-AP188)/(S189-S188)</f>
        <v>0</v>
      </c>
      <c r="AV189" s="4">
        <f t="shared" ref="AV189:AV198" si="63">IF(B189="ACCELERATION",5,0)</f>
        <v>0</v>
      </c>
      <c r="AW189" s="4">
        <f t="shared" ref="AW189:AW198" si="64">IF(B189="CRUISING",5,0)</f>
        <v>0</v>
      </c>
      <c r="AX189" s="4">
        <f t="shared" ref="AX189:AX198" si="65">IF(B189="DECELERATION",5,0)</f>
        <v>0</v>
      </c>
      <c r="AY189" s="4">
        <f t="shared" ref="AY189:AY198" si="66">IF(B189="END",5,0)</f>
        <v>5</v>
      </c>
      <c r="AZ189" s="4">
        <f t="shared" ref="AZ189:AZ198" si="67">IF(ABS(Z189-AA189)&lt;5,5,0)</f>
        <v>5</v>
      </c>
    </row>
    <row r="190" spans="1:52" x14ac:dyDescent="0.3">
      <c r="A190" s="4" t="s">
        <v>52</v>
      </c>
      <c r="B190" s="4" t="s">
        <v>61</v>
      </c>
      <c r="C190" s="4" t="s">
        <v>54</v>
      </c>
      <c r="D190" s="4" t="s">
        <v>57</v>
      </c>
      <c r="E190" s="4" t="s">
        <v>55</v>
      </c>
      <c r="F190" s="4">
        <v>2</v>
      </c>
      <c r="G190" s="4">
        <v>0.04</v>
      </c>
      <c r="H190" s="4" t="b">
        <v>0</v>
      </c>
      <c r="I190" s="4" t="b">
        <v>1</v>
      </c>
      <c r="J190" s="4" t="b">
        <v>0</v>
      </c>
      <c r="K190" s="4">
        <v>2.9529999999999998</v>
      </c>
      <c r="L190" s="4">
        <v>5.1999999999999998E-2</v>
      </c>
      <c r="M190" s="4">
        <v>-5.8000000000000003E-2</v>
      </c>
      <c r="N190" s="4">
        <v>0</v>
      </c>
      <c r="O190" s="4">
        <v>0</v>
      </c>
      <c r="P190" s="4">
        <v>5.0000000000000001E-3</v>
      </c>
      <c r="Q190" s="5">
        <v>1E-3</v>
      </c>
      <c r="R190" s="5">
        <v>0.18</v>
      </c>
      <c r="S190" s="9">
        <v>2625.0459999999998</v>
      </c>
      <c r="T190" s="4">
        <v>1838.375</v>
      </c>
      <c r="U190" s="4">
        <v>4.9340000000000002</v>
      </c>
      <c r="V190" s="4">
        <v>2.2320000000000002</v>
      </c>
      <c r="W190" s="4">
        <v>1.5620000000000001</v>
      </c>
      <c r="X190" s="4">
        <v>3.8159999999999998</v>
      </c>
      <c r="Y190" s="4">
        <v>12.545</v>
      </c>
      <c r="Z190" s="8">
        <v>5272</v>
      </c>
      <c r="AA190" s="8">
        <v>5270</v>
      </c>
      <c r="AB190" s="4">
        <v>5270</v>
      </c>
      <c r="AC190" s="4">
        <v>0.06</v>
      </c>
      <c r="AD190" s="5">
        <v>-5.0000000000000001E-3</v>
      </c>
      <c r="AE190" s="16">
        <v>0.01</v>
      </c>
      <c r="AF190" s="4">
        <v>0</v>
      </c>
      <c r="AG190" s="4">
        <v>5.0000000000000001E-3</v>
      </c>
      <c r="AH190" s="4">
        <v>0.04</v>
      </c>
      <c r="AI190" s="4">
        <v>4.9250000000000002E-2</v>
      </c>
      <c r="AJ190" s="4">
        <v>0</v>
      </c>
      <c r="AK190" s="4">
        <v>-1.32E-3</v>
      </c>
      <c r="AL190" s="4">
        <v>0</v>
      </c>
      <c r="AM190" s="4">
        <v>0</v>
      </c>
      <c r="AN190" s="4">
        <v>0.08</v>
      </c>
      <c r="AO190" s="5">
        <f t="shared" si="56"/>
        <v>1.0003795066413663</v>
      </c>
      <c r="AP190" s="8">
        <f t="shared" si="57"/>
        <v>-2</v>
      </c>
      <c r="AQ190" s="6">
        <f t="shared" si="58"/>
        <v>-1.06951871657754E-2</v>
      </c>
      <c r="AR190" s="5">
        <f t="shared" si="59"/>
        <v>1</v>
      </c>
      <c r="AS190" s="5">
        <f t="shared" si="60"/>
        <v>-6.7727734507280731E-3</v>
      </c>
      <c r="AT190" s="5">
        <f t="shared" si="61"/>
        <v>-4.8823403042553983E-2</v>
      </c>
      <c r="AU190" s="5">
        <f t="shared" si="62"/>
        <v>-8.2020997375328031E-2</v>
      </c>
      <c r="AV190" s="4">
        <f t="shared" si="63"/>
        <v>0</v>
      </c>
      <c r="AW190" s="4">
        <f t="shared" si="64"/>
        <v>0</v>
      </c>
      <c r="AX190" s="4">
        <f t="shared" si="65"/>
        <v>0</v>
      </c>
      <c r="AY190" s="4">
        <f t="shared" si="66"/>
        <v>5</v>
      </c>
      <c r="AZ190" s="4">
        <f t="shared" si="67"/>
        <v>5</v>
      </c>
    </row>
    <row r="191" spans="1:52" x14ac:dyDescent="0.3">
      <c r="A191" s="4" t="s">
        <v>52</v>
      </c>
      <c r="B191" s="4" t="s">
        <v>61</v>
      </c>
      <c r="C191" s="4" t="s">
        <v>54</v>
      </c>
      <c r="D191" s="4" t="s">
        <v>63</v>
      </c>
      <c r="E191" s="4" t="s">
        <v>55</v>
      </c>
      <c r="F191" s="4">
        <v>2</v>
      </c>
      <c r="G191" s="4">
        <v>0.04</v>
      </c>
      <c r="H191" s="4" t="b">
        <v>0</v>
      </c>
      <c r="I191" s="4" t="b">
        <v>1</v>
      </c>
      <c r="J191" s="4" t="b">
        <v>0</v>
      </c>
      <c r="K191" s="4">
        <v>2.9529999999999998</v>
      </c>
      <c r="L191" s="4">
        <v>5.1999999999999998E-2</v>
      </c>
      <c r="M191" s="4">
        <v>-5.8000000000000003E-2</v>
      </c>
      <c r="N191" s="4">
        <v>32.991999999999997</v>
      </c>
      <c r="O191" s="4">
        <v>-6.0999999999999999E-2</v>
      </c>
      <c r="P191" s="4">
        <v>5.0000000000000001E-3</v>
      </c>
      <c r="Q191" s="5">
        <v>1E-3</v>
      </c>
      <c r="R191" s="5">
        <v>0.18</v>
      </c>
      <c r="S191" s="9">
        <v>2641.9110000000001</v>
      </c>
      <c r="T191" s="4">
        <v>1838.375</v>
      </c>
      <c r="U191" s="4">
        <v>4.6710000000000003</v>
      </c>
      <c r="V191" s="4">
        <v>2.2879999999999998</v>
      </c>
      <c r="W191" s="4">
        <v>1.5580000000000001</v>
      </c>
      <c r="X191" s="4">
        <v>4.8559999999999999</v>
      </c>
      <c r="Y191" s="4">
        <v>13.375</v>
      </c>
      <c r="Z191" s="8">
        <v>5272</v>
      </c>
      <c r="AA191" s="8">
        <v>5270</v>
      </c>
      <c r="AB191" s="4">
        <v>5270</v>
      </c>
      <c r="AC191" s="4">
        <v>0.06</v>
      </c>
      <c r="AD191" s="5">
        <v>-0.01</v>
      </c>
      <c r="AE191" s="16">
        <v>2E-3</v>
      </c>
      <c r="AF191" s="4">
        <v>1.091E-2</v>
      </c>
      <c r="AG191" s="4">
        <v>2.9099999999999998E-3</v>
      </c>
      <c r="AH191" s="4">
        <v>0.02</v>
      </c>
      <c r="AI191" s="4">
        <v>3.0710000000000001E-2</v>
      </c>
      <c r="AJ191" s="4">
        <v>-1.1000000000000001E-3</v>
      </c>
      <c r="AK191" s="4">
        <v>-1.5399999999999999E-3</v>
      </c>
      <c r="AL191" s="4">
        <v>0</v>
      </c>
      <c r="AM191" s="4">
        <v>0</v>
      </c>
      <c r="AN191" s="4">
        <v>0.04</v>
      </c>
      <c r="AO191" s="5">
        <f t="shared" si="56"/>
        <v>1.0003795066413663</v>
      </c>
      <c r="AP191" s="8">
        <f t="shared" si="57"/>
        <v>-2</v>
      </c>
      <c r="AQ191" s="6">
        <f t="shared" si="58"/>
        <v>-1.06951871657754E-2</v>
      </c>
      <c r="AR191" s="5">
        <f t="shared" si="59"/>
        <v>1</v>
      </c>
      <c r="AS191" s="5">
        <f t="shared" si="60"/>
        <v>-6.7727734507280731E-3</v>
      </c>
      <c r="AT191" s="5">
        <f t="shared" si="61"/>
        <v>-3.30168749464506E-2</v>
      </c>
      <c r="AU191" s="5">
        <f t="shared" si="62"/>
        <v>0</v>
      </c>
      <c r="AV191" s="4">
        <f t="shared" si="63"/>
        <v>0</v>
      </c>
      <c r="AW191" s="4">
        <f t="shared" si="64"/>
        <v>0</v>
      </c>
      <c r="AX191" s="4">
        <f t="shared" si="65"/>
        <v>0</v>
      </c>
      <c r="AY191" s="4">
        <f t="shared" si="66"/>
        <v>5</v>
      </c>
      <c r="AZ191" s="4">
        <f t="shared" si="67"/>
        <v>5</v>
      </c>
    </row>
    <row r="192" spans="1:52" s="11" customFormat="1" x14ac:dyDescent="0.3">
      <c r="A192" s="11" t="s">
        <v>64</v>
      </c>
      <c r="B192" s="11" t="s">
        <v>61</v>
      </c>
      <c r="C192" s="11" t="s">
        <v>54</v>
      </c>
      <c r="D192" s="11" t="s">
        <v>65</v>
      </c>
      <c r="E192" s="11" t="s">
        <v>55</v>
      </c>
      <c r="F192" s="11">
        <v>2</v>
      </c>
      <c r="G192" s="11">
        <v>0.04</v>
      </c>
      <c r="H192" s="11" t="b">
        <v>0</v>
      </c>
      <c r="I192" s="11" t="b">
        <v>1</v>
      </c>
      <c r="J192" s="11" t="b">
        <v>1</v>
      </c>
      <c r="K192" s="11">
        <v>2.9529999999999998</v>
      </c>
      <c r="L192" s="11">
        <v>5.1999999999999998E-2</v>
      </c>
      <c r="M192" s="11">
        <v>-5.8000000000000003E-2</v>
      </c>
      <c r="N192" s="11">
        <v>0</v>
      </c>
      <c r="O192" s="11">
        <v>0</v>
      </c>
      <c r="P192" s="11">
        <v>5.0000000000000001E-3</v>
      </c>
      <c r="Q192" s="12">
        <v>1E-3</v>
      </c>
      <c r="R192" s="12">
        <v>0.18</v>
      </c>
      <c r="S192" s="13">
        <v>2660.431</v>
      </c>
      <c r="T192" s="11">
        <v>1838.375</v>
      </c>
      <c r="U192" s="11">
        <v>1.4279999999999999</v>
      </c>
      <c r="V192" s="11">
        <v>2.161</v>
      </c>
      <c r="W192" s="11">
        <v>1.3360000000000001</v>
      </c>
      <c r="X192" s="11">
        <v>3.577</v>
      </c>
      <c r="Y192" s="11">
        <v>8.5039999999999996</v>
      </c>
      <c r="Z192" s="11">
        <v>5272</v>
      </c>
      <c r="AA192" s="11">
        <v>5270</v>
      </c>
      <c r="AB192" s="11">
        <v>5270</v>
      </c>
      <c r="AC192" s="11">
        <v>0.06</v>
      </c>
      <c r="AD192" s="12">
        <v>-0.01</v>
      </c>
      <c r="AE192" s="16">
        <v>-4.0000000000000001E-3</v>
      </c>
      <c r="AF192" s="11">
        <v>0</v>
      </c>
      <c r="AG192" s="11">
        <v>-1.4E-2</v>
      </c>
      <c r="AH192" s="11">
        <v>0.02</v>
      </c>
      <c r="AI192" s="11">
        <v>1.396E-2</v>
      </c>
      <c r="AJ192" s="11">
        <v>-8.9999999999999998E-4</v>
      </c>
      <c r="AK192" s="11">
        <v>-1.4400000000000001E-3</v>
      </c>
      <c r="AL192" s="11">
        <v>0</v>
      </c>
      <c r="AM192" s="11">
        <v>0</v>
      </c>
      <c r="AN192" s="11">
        <v>3.2000000000000001E-2</v>
      </c>
      <c r="AO192" s="12">
        <f t="shared" si="56"/>
        <v>1.0003795066413663</v>
      </c>
      <c r="AP192" s="11">
        <f t="shared" si="57"/>
        <v>-2</v>
      </c>
      <c r="AQ192" s="14">
        <f t="shared" si="58"/>
        <v>-1.06951871657754E-2</v>
      </c>
      <c r="AR192" s="12">
        <f t="shared" si="59"/>
        <v>1</v>
      </c>
      <c r="AS192" s="12">
        <f t="shared" si="60"/>
        <v>-6.7727734507280731E-3</v>
      </c>
      <c r="AT192" s="12">
        <f t="shared" si="61"/>
        <v>-1.6404199475065606E-2</v>
      </c>
      <c r="AU192" s="12">
        <f t="shared" si="62"/>
        <v>0</v>
      </c>
      <c r="AV192" s="11">
        <f t="shared" si="63"/>
        <v>0</v>
      </c>
      <c r="AW192" s="11">
        <f t="shared" si="64"/>
        <v>0</v>
      </c>
      <c r="AX192" s="11">
        <f t="shared" si="65"/>
        <v>0</v>
      </c>
      <c r="AY192" s="11">
        <f t="shared" si="66"/>
        <v>5</v>
      </c>
      <c r="AZ192" s="11">
        <f t="shared" si="67"/>
        <v>5</v>
      </c>
    </row>
    <row r="193" spans="1:52" x14ac:dyDescent="0.3">
      <c r="A193" s="4" t="s">
        <v>64</v>
      </c>
      <c r="B193" s="4" t="s">
        <v>61</v>
      </c>
      <c r="C193" s="4" t="s">
        <v>54</v>
      </c>
      <c r="D193" s="4" t="s">
        <v>65</v>
      </c>
      <c r="E193" s="4" t="s">
        <v>55</v>
      </c>
      <c r="F193" s="4">
        <v>2</v>
      </c>
      <c r="G193" s="4">
        <v>0.04</v>
      </c>
      <c r="H193" s="4" t="b">
        <v>0</v>
      </c>
      <c r="I193" s="4" t="b">
        <v>1</v>
      </c>
      <c r="J193" s="4" t="b">
        <v>1</v>
      </c>
      <c r="K193" s="4">
        <v>2.9529999999999998</v>
      </c>
      <c r="L193" s="4">
        <v>5.1999999999999998E-2</v>
      </c>
      <c r="M193" s="4">
        <v>-5.8000000000000003E-2</v>
      </c>
      <c r="N193" s="4">
        <v>0</v>
      </c>
      <c r="O193" s="4">
        <v>0</v>
      </c>
      <c r="P193" s="4">
        <v>5.0000000000000001E-3</v>
      </c>
      <c r="Q193" s="5">
        <v>1E-3</v>
      </c>
      <c r="R193" s="5">
        <v>0.18</v>
      </c>
      <c r="S193" s="9">
        <v>2672.93</v>
      </c>
      <c r="T193" s="4">
        <v>1838.375</v>
      </c>
      <c r="U193" s="4">
        <v>2.6349999999999998</v>
      </c>
      <c r="V193" s="4">
        <v>2.38</v>
      </c>
      <c r="W193" s="4">
        <v>1.4079999999999999</v>
      </c>
      <c r="X193" s="4">
        <v>3.516</v>
      </c>
      <c r="Y193" s="4">
        <v>9.94</v>
      </c>
      <c r="Z193" s="8">
        <v>5272</v>
      </c>
      <c r="AA193" s="8">
        <v>5270</v>
      </c>
      <c r="AB193" s="4">
        <v>5270</v>
      </c>
      <c r="AC193" s="4">
        <v>0.06</v>
      </c>
      <c r="AD193" s="5">
        <v>-0.01</v>
      </c>
      <c r="AE193" s="16">
        <v>-4.0000000000000001E-3</v>
      </c>
      <c r="AF193" s="4">
        <v>0</v>
      </c>
      <c r="AG193" s="4">
        <v>0</v>
      </c>
      <c r="AH193" s="4">
        <v>0.02</v>
      </c>
      <c r="AI193" s="4">
        <v>1.3860000000000001E-2</v>
      </c>
      <c r="AJ193" s="4">
        <v>-1.0000000000000001E-5</v>
      </c>
      <c r="AK193" s="4">
        <v>-9.6000000000000002E-4</v>
      </c>
      <c r="AL193" s="4">
        <v>0</v>
      </c>
      <c r="AM193" s="4">
        <v>0</v>
      </c>
      <c r="AN193" s="4">
        <v>0.112</v>
      </c>
      <c r="AO193" s="5">
        <f t="shared" si="56"/>
        <v>1.0003795066413663</v>
      </c>
      <c r="AP193" s="8">
        <f t="shared" si="57"/>
        <v>-2</v>
      </c>
      <c r="AQ193" s="6">
        <f t="shared" si="58"/>
        <v>-1.06951871657754E-2</v>
      </c>
      <c r="AR193" s="5">
        <f t="shared" si="59"/>
        <v>1</v>
      </c>
      <c r="AS193" s="5">
        <f t="shared" si="60"/>
        <v>-6.7727734507280731E-3</v>
      </c>
      <c r="AT193" s="5">
        <f t="shared" si="61"/>
        <v>-1.6404199475065606E-2</v>
      </c>
      <c r="AU193" s="5">
        <f t="shared" si="62"/>
        <v>0</v>
      </c>
      <c r="AV193" s="4">
        <f t="shared" si="63"/>
        <v>0</v>
      </c>
      <c r="AW193" s="4">
        <f t="shared" si="64"/>
        <v>0</v>
      </c>
      <c r="AX193" s="4">
        <f t="shared" si="65"/>
        <v>0</v>
      </c>
      <c r="AY193" s="4">
        <f t="shared" si="66"/>
        <v>5</v>
      </c>
      <c r="AZ193" s="4">
        <f t="shared" si="67"/>
        <v>5</v>
      </c>
    </row>
    <row r="194" spans="1:52" x14ac:dyDescent="0.3">
      <c r="A194" s="4" t="s">
        <v>64</v>
      </c>
      <c r="B194" s="4" t="s">
        <v>61</v>
      </c>
      <c r="C194" s="4" t="s">
        <v>54</v>
      </c>
      <c r="D194" s="4" t="s">
        <v>65</v>
      </c>
      <c r="E194" s="4" t="s">
        <v>55</v>
      </c>
      <c r="F194" s="4">
        <v>2</v>
      </c>
      <c r="G194" s="4">
        <v>0.04</v>
      </c>
      <c r="H194" s="4" t="b">
        <v>0</v>
      </c>
      <c r="I194" s="4" t="b">
        <v>1</v>
      </c>
      <c r="J194" s="4" t="b">
        <v>1</v>
      </c>
      <c r="K194" s="4">
        <v>2.9529999999999998</v>
      </c>
      <c r="L194" s="4">
        <v>5.1999999999999998E-2</v>
      </c>
      <c r="M194" s="4">
        <v>-5.8000000000000003E-2</v>
      </c>
      <c r="N194" s="4">
        <v>0</v>
      </c>
      <c r="O194" s="4">
        <v>0</v>
      </c>
      <c r="P194" s="4">
        <v>5.0000000000000001E-3</v>
      </c>
      <c r="Q194" s="5">
        <v>1E-3</v>
      </c>
      <c r="R194" s="5">
        <v>0.18</v>
      </c>
      <c r="S194" s="9">
        <v>2685.3780000000002</v>
      </c>
      <c r="T194" s="4">
        <v>1838.375</v>
      </c>
      <c r="U194" s="4">
        <v>1.39</v>
      </c>
      <c r="V194" s="4">
        <v>2.04</v>
      </c>
      <c r="W194" s="4">
        <v>1.3759999999999999</v>
      </c>
      <c r="X194" s="4">
        <v>3.4169999999999998</v>
      </c>
      <c r="Y194" s="4">
        <v>8.2260000000000009</v>
      </c>
      <c r="Z194" s="8">
        <v>5272</v>
      </c>
      <c r="AA194" s="8">
        <v>5270</v>
      </c>
      <c r="AB194" s="4">
        <v>5270</v>
      </c>
      <c r="AC194" s="4">
        <v>0.06</v>
      </c>
      <c r="AD194" s="5">
        <v>-0.01</v>
      </c>
      <c r="AE194" s="16">
        <v>-4.0000000000000001E-3</v>
      </c>
      <c r="AF194" s="4">
        <v>0</v>
      </c>
      <c r="AG194" s="4">
        <v>0</v>
      </c>
      <c r="AH194" s="4">
        <v>0</v>
      </c>
      <c r="AI194" s="4">
        <v>1.379E-2</v>
      </c>
      <c r="AJ194" s="4">
        <v>-1.0000000000000001E-5</v>
      </c>
      <c r="AK194" s="4">
        <v>-4.8999999999999998E-4</v>
      </c>
      <c r="AL194" s="4">
        <v>0</v>
      </c>
      <c r="AM194" s="4">
        <v>0</v>
      </c>
      <c r="AN194" s="4">
        <v>5.8000000000000003E-2</v>
      </c>
      <c r="AO194" s="5">
        <f t="shared" si="56"/>
        <v>1.0003795066413663</v>
      </c>
      <c r="AP194" s="8">
        <f t="shared" si="57"/>
        <v>-2</v>
      </c>
      <c r="AQ194" s="6">
        <f t="shared" si="58"/>
        <v>-1.06951871657754E-2</v>
      </c>
      <c r="AR194" s="5">
        <f t="shared" si="59"/>
        <v>1</v>
      </c>
      <c r="AS194" s="5">
        <f t="shared" si="60"/>
        <v>-6.7727734507280731E-3</v>
      </c>
      <c r="AT194" s="5">
        <f t="shared" si="61"/>
        <v>-1.6404199475065606E-2</v>
      </c>
      <c r="AU194" s="5">
        <f t="shared" si="62"/>
        <v>0</v>
      </c>
      <c r="AV194" s="4">
        <f t="shared" si="63"/>
        <v>0</v>
      </c>
      <c r="AW194" s="4">
        <f t="shared" si="64"/>
        <v>0</v>
      </c>
      <c r="AX194" s="4">
        <f t="shared" si="65"/>
        <v>0</v>
      </c>
      <c r="AY194" s="4">
        <f t="shared" si="66"/>
        <v>5</v>
      </c>
      <c r="AZ194" s="4">
        <f t="shared" si="67"/>
        <v>5</v>
      </c>
    </row>
    <row r="195" spans="1:52" x14ac:dyDescent="0.3">
      <c r="A195" s="4" t="s">
        <v>64</v>
      </c>
      <c r="B195" s="4" t="s">
        <v>61</v>
      </c>
      <c r="C195" s="4" t="s">
        <v>54</v>
      </c>
      <c r="D195" s="4" t="s">
        <v>65</v>
      </c>
      <c r="E195" s="4" t="s">
        <v>55</v>
      </c>
      <c r="F195" s="4">
        <v>2</v>
      </c>
      <c r="G195" s="4">
        <v>0.04</v>
      </c>
      <c r="H195" s="4" t="b">
        <v>0</v>
      </c>
      <c r="I195" s="4" t="b">
        <v>1</v>
      </c>
      <c r="J195" s="4" t="b">
        <v>1</v>
      </c>
      <c r="K195" s="4">
        <v>2.9529999999999998</v>
      </c>
      <c r="L195" s="4">
        <v>5.1999999999999998E-2</v>
      </c>
      <c r="M195" s="4">
        <v>-5.8000000000000003E-2</v>
      </c>
      <c r="N195" s="4">
        <v>0</v>
      </c>
      <c r="O195" s="4">
        <v>0</v>
      </c>
      <c r="P195" s="4">
        <v>5.0000000000000001E-3</v>
      </c>
      <c r="Q195" s="5">
        <v>1E-3</v>
      </c>
      <c r="R195" s="5">
        <v>0.18</v>
      </c>
      <c r="S195" s="9">
        <v>2696.0810000000001</v>
      </c>
      <c r="T195" s="4">
        <v>1838.375</v>
      </c>
      <c r="U195" s="4">
        <v>1.42</v>
      </c>
      <c r="V195" s="4">
        <v>2.0720000000000001</v>
      </c>
      <c r="W195" s="4">
        <v>1.3839999999999999</v>
      </c>
      <c r="X195" s="4">
        <v>3.57</v>
      </c>
      <c r="Y195" s="4">
        <v>8.4480000000000004</v>
      </c>
      <c r="Z195" s="8">
        <v>5272</v>
      </c>
      <c r="AA195" s="8">
        <v>5270</v>
      </c>
      <c r="AB195" s="4">
        <v>5270</v>
      </c>
      <c r="AC195" s="4">
        <v>0.06</v>
      </c>
      <c r="AD195" s="5">
        <v>-0.01</v>
      </c>
      <c r="AE195" s="16">
        <v>-4.0000000000000001E-3</v>
      </c>
      <c r="AF195" s="4">
        <v>0</v>
      </c>
      <c r="AG195" s="4">
        <v>0</v>
      </c>
      <c r="AH195" s="4">
        <v>0</v>
      </c>
      <c r="AI195" s="4">
        <v>0</v>
      </c>
      <c r="AJ195" s="4">
        <v>-1.2899999999999999E-3</v>
      </c>
      <c r="AK195" s="4">
        <v>-6.8999999999999997E-4</v>
      </c>
      <c r="AL195" s="4">
        <v>0</v>
      </c>
      <c r="AM195" s="4">
        <v>0</v>
      </c>
      <c r="AN195" s="4">
        <v>2.9000000000000001E-2</v>
      </c>
      <c r="AO195" s="5">
        <f t="shared" si="56"/>
        <v>1.0003795066413663</v>
      </c>
      <c r="AP195" s="8">
        <f t="shared" si="57"/>
        <v>-2</v>
      </c>
      <c r="AQ195" s="6">
        <f t="shared" si="58"/>
        <v>-1.06951871657754E-2</v>
      </c>
      <c r="AR195" s="5">
        <f t="shared" si="59"/>
        <v>1</v>
      </c>
      <c r="AS195" s="5">
        <f t="shared" si="60"/>
        <v>-6.7727734507280731E-3</v>
      </c>
      <c r="AT195" s="5">
        <f t="shared" si="61"/>
        <v>0</v>
      </c>
      <c r="AU195" s="5">
        <f t="shared" si="62"/>
        <v>0</v>
      </c>
      <c r="AV195" s="4">
        <f t="shared" si="63"/>
        <v>0</v>
      </c>
      <c r="AW195" s="4">
        <f t="shared" si="64"/>
        <v>0</v>
      </c>
      <c r="AX195" s="4">
        <f t="shared" si="65"/>
        <v>0</v>
      </c>
      <c r="AY195" s="4">
        <f t="shared" si="66"/>
        <v>5</v>
      </c>
      <c r="AZ195" s="4">
        <f t="shared" si="67"/>
        <v>5</v>
      </c>
    </row>
    <row r="196" spans="1:52" x14ac:dyDescent="0.3">
      <c r="A196" s="4" t="s">
        <v>64</v>
      </c>
      <c r="B196" s="4" t="s">
        <v>61</v>
      </c>
      <c r="C196" s="4" t="s">
        <v>54</v>
      </c>
      <c r="D196" s="4" t="s">
        <v>65</v>
      </c>
      <c r="E196" s="4" t="s">
        <v>55</v>
      </c>
      <c r="F196" s="4">
        <v>2</v>
      </c>
      <c r="G196" s="4">
        <v>0.04</v>
      </c>
      <c r="H196" s="4" t="b">
        <v>0</v>
      </c>
      <c r="I196" s="4" t="b">
        <v>1</v>
      </c>
      <c r="J196" s="4" t="b">
        <v>1</v>
      </c>
      <c r="K196" s="4">
        <v>2.9529999999999998</v>
      </c>
      <c r="L196" s="4">
        <v>5.1999999999999998E-2</v>
      </c>
      <c r="M196" s="4">
        <v>-5.8000000000000003E-2</v>
      </c>
      <c r="N196" s="4">
        <v>0</v>
      </c>
      <c r="O196" s="4">
        <v>0</v>
      </c>
      <c r="P196" s="4">
        <v>5.0000000000000001E-3</v>
      </c>
      <c r="Q196" s="5">
        <v>1E-3</v>
      </c>
      <c r="R196" s="5">
        <v>0.18</v>
      </c>
      <c r="S196" s="9">
        <v>2707.0210000000002</v>
      </c>
      <c r="T196" s="4">
        <v>1838.375</v>
      </c>
      <c r="U196" s="4">
        <v>1.351</v>
      </c>
      <c r="V196" s="4">
        <v>2.0720000000000001</v>
      </c>
      <c r="W196" s="4">
        <v>1.4410000000000001</v>
      </c>
      <c r="X196" s="4">
        <v>3.5720000000000001</v>
      </c>
      <c r="Y196" s="4">
        <v>8.4380000000000006</v>
      </c>
      <c r="Z196" s="8">
        <v>5272</v>
      </c>
      <c r="AA196" s="8">
        <v>5270</v>
      </c>
      <c r="AB196" s="4">
        <v>5270</v>
      </c>
      <c r="AC196" s="4">
        <v>0.06</v>
      </c>
      <c r="AD196" s="5">
        <v>-0.01</v>
      </c>
      <c r="AE196" s="16">
        <v>-4.0000000000000001E-3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-4.6999999999999999E-4</v>
      </c>
      <c r="AL196" s="4">
        <v>0</v>
      </c>
      <c r="AM196" s="4">
        <v>0</v>
      </c>
      <c r="AN196" s="4">
        <v>1.4E-2</v>
      </c>
      <c r="AO196" s="5">
        <f t="shared" si="56"/>
        <v>1.0003795066413663</v>
      </c>
      <c r="AP196" s="8">
        <f t="shared" si="57"/>
        <v>-2</v>
      </c>
      <c r="AQ196" s="6">
        <f t="shared" si="58"/>
        <v>-1.06951871657754E-2</v>
      </c>
      <c r="AR196" s="5">
        <f t="shared" si="59"/>
        <v>1</v>
      </c>
      <c r="AS196" s="5">
        <f t="shared" si="60"/>
        <v>-6.7727734507280731E-3</v>
      </c>
      <c r="AT196" s="5">
        <f t="shared" si="61"/>
        <v>0</v>
      </c>
      <c r="AU196" s="5">
        <f t="shared" si="62"/>
        <v>0</v>
      </c>
      <c r="AV196" s="4">
        <f t="shared" si="63"/>
        <v>0</v>
      </c>
      <c r="AW196" s="4">
        <f t="shared" si="64"/>
        <v>0</v>
      </c>
      <c r="AX196" s="4">
        <f t="shared" si="65"/>
        <v>0</v>
      </c>
      <c r="AY196" s="4">
        <f t="shared" si="66"/>
        <v>5</v>
      </c>
      <c r="AZ196" s="4">
        <f t="shared" si="67"/>
        <v>5</v>
      </c>
    </row>
    <row r="197" spans="1:52" x14ac:dyDescent="0.3">
      <c r="A197" s="4" t="s">
        <v>64</v>
      </c>
      <c r="B197" s="4" t="s">
        <v>61</v>
      </c>
      <c r="C197" s="4" t="s">
        <v>54</v>
      </c>
      <c r="D197" s="4" t="s">
        <v>65</v>
      </c>
      <c r="E197" s="4" t="s">
        <v>55</v>
      </c>
      <c r="F197" s="4">
        <v>2</v>
      </c>
      <c r="G197" s="4">
        <v>0.04</v>
      </c>
      <c r="H197" s="4" t="b">
        <v>0</v>
      </c>
      <c r="I197" s="4" t="b">
        <v>1</v>
      </c>
      <c r="J197" s="4" t="b">
        <v>1</v>
      </c>
      <c r="K197" s="4">
        <v>2.9529999999999998</v>
      </c>
      <c r="L197" s="4">
        <v>5.1999999999999998E-2</v>
      </c>
      <c r="M197" s="4">
        <v>-5.8000000000000003E-2</v>
      </c>
      <c r="N197" s="4">
        <v>0</v>
      </c>
      <c r="O197" s="4">
        <v>0</v>
      </c>
      <c r="P197" s="4">
        <v>5.0000000000000001E-3</v>
      </c>
      <c r="Q197" s="5">
        <v>1E-3</v>
      </c>
      <c r="R197" s="5">
        <v>0.18</v>
      </c>
      <c r="S197" s="9">
        <v>2717.9859999999999</v>
      </c>
      <c r="T197" s="4">
        <v>1838.375</v>
      </c>
      <c r="U197" s="4">
        <v>1.369</v>
      </c>
      <c r="V197" s="4">
        <v>2.089</v>
      </c>
      <c r="W197" s="4">
        <v>1.3160000000000001</v>
      </c>
      <c r="X197" s="4">
        <v>3.3620000000000001</v>
      </c>
      <c r="Y197" s="4">
        <v>8.1379999999999999</v>
      </c>
      <c r="Z197" s="8">
        <v>5272</v>
      </c>
      <c r="AA197" s="8">
        <v>5270</v>
      </c>
      <c r="AB197" s="4">
        <v>5270</v>
      </c>
      <c r="AC197" s="4">
        <v>0.06</v>
      </c>
      <c r="AD197" s="5">
        <v>-0.01</v>
      </c>
      <c r="AE197" s="16">
        <v>-4.0000000000000001E-3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-2.4000000000000001E-4</v>
      </c>
      <c r="AL197" s="4">
        <v>0</v>
      </c>
      <c r="AM197" s="4">
        <v>0</v>
      </c>
      <c r="AN197" s="4">
        <v>3.0000000000000001E-3</v>
      </c>
      <c r="AO197" s="5">
        <f t="shared" si="56"/>
        <v>1.0003795066413663</v>
      </c>
      <c r="AP197" s="8">
        <f t="shared" si="57"/>
        <v>-2</v>
      </c>
      <c r="AQ197" s="6">
        <f t="shared" si="58"/>
        <v>-1.06951871657754E-2</v>
      </c>
      <c r="AR197" s="5">
        <f t="shared" si="59"/>
        <v>1</v>
      </c>
      <c r="AS197" s="5">
        <f t="shared" si="60"/>
        <v>-6.7727734507280731E-3</v>
      </c>
      <c r="AT197" s="5">
        <f t="shared" si="61"/>
        <v>0</v>
      </c>
      <c r="AU197" s="5">
        <f t="shared" si="62"/>
        <v>0</v>
      </c>
      <c r="AV197" s="4">
        <f t="shared" si="63"/>
        <v>0</v>
      </c>
      <c r="AW197" s="4">
        <f t="shared" si="64"/>
        <v>0</v>
      </c>
      <c r="AX197" s="4">
        <f t="shared" si="65"/>
        <v>0</v>
      </c>
      <c r="AY197" s="4">
        <f t="shared" si="66"/>
        <v>5</v>
      </c>
      <c r="AZ197" s="4">
        <f t="shared" si="67"/>
        <v>5</v>
      </c>
    </row>
    <row r="198" spans="1:52" x14ac:dyDescent="0.3">
      <c r="A198" s="4" t="s">
        <v>64</v>
      </c>
      <c r="B198" s="4" t="s">
        <v>61</v>
      </c>
      <c r="C198" s="4" t="s">
        <v>54</v>
      </c>
      <c r="D198" s="4" t="s">
        <v>65</v>
      </c>
      <c r="E198" s="4" t="s">
        <v>55</v>
      </c>
      <c r="F198" s="4">
        <v>2</v>
      </c>
      <c r="G198" s="4">
        <v>0.04</v>
      </c>
      <c r="H198" s="4" t="b">
        <v>0</v>
      </c>
      <c r="I198" s="4" t="b">
        <v>1</v>
      </c>
      <c r="J198" s="4" t="b">
        <v>1</v>
      </c>
      <c r="K198" s="4">
        <v>2.9529999999999998</v>
      </c>
      <c r="L198" s="4">
        <v>5.1999999999999998E-2</v>
      </c>
      <c r="M198" s="4">
        <v>-5.8000000000000003E-2</v>
      </c>
      <c r="N198" s="4">
        <v>0</v>
      </c>
      <c r="O198" s="4">
        <v>0</v>
      </c>
      <c r="P198" s="4">
        <v>5.0000000000000001E-3</v>
      </c>
      <c r="Q198" s="5">
        <v>1E-3</v>
      </c>
      <c r="R198" s="5">
        <v>0.18</v>
      </c>
      <c r="S198" s="9">
        <v>2728.665</v>
      </c>
      <c r="T198" s="4">
        <v>1838.375</v>
      </c>
      <c r="U198" s="4">
        <v>1.375</v>
      </c>
      <c r="V198" s="4">
        <v>2.2090000000000001</v>
      </c>
      <c r="W198" s="4">
        <v>1.518</v>
      </c>
      <c r="X198" s="4">
        <v>4.399</v>
      </c>
      <c r="Y198" s="4">
        <v>9.5030000000000001</v>
      </c>
      <c r="Z198" s="8">
        <v>5272</v>
      </c>
      <c r="AA198" s="8">
        <v>5270</v>
      </c>
      <c r="AB198" s="4">
        <v>5270</v>
      </c>
      <c r="AC198" s="4">
        <v>0.06</v>
      </c>
      <c r="AD198" s="5">
        <v>-0.01</v>
      </c>
      <c r="AE198" s="16">
        <v>-4.0000000000000001E-3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-2.5000000000000001E-4</v>
      </c>
      <c r="AL198" s="4">
        <v>0</v>
      </c>
      <c r="AM198" s="4">
        <v>0</v>
      </c>
      <c r="AN198" s="4">
        <v>3.0000000000000001E-3</v>
      </c>
      <c r="AO198" s="5">
        <f t="shared" si="56"/>
        <v>1.0003795066413663</v>
      </c>
      <c r="AP198" s="8">
        <f t="shared" si="57"/>
        <v>-2</v>
      </c>
      <c r="AQ198" s="6">
        <f t="shared" si="58"/>
        <v>-1.06951871657754E-2</v>
      </c>
      <c r="AR198" s="5">
        <f t="shared" si="59"/>
        <v>1</v>
      </c>
      <c r="AS198" s="5">
        <f t="shared" si="60"/>
        <v>-6.7727734507280731E-3</v>
      </c>
      <c r="AT198" s="5">
        <f t="shared" si="61"/>
        <v>0</v>
      </c>
      <c r="AU198" s="5">
        <f t="shared" si="62"/>
        <v>0</v>
      </c>
      <c r="AV198" s="4">
        <f t="shared" si="63"/>
        <v>0</v>
      </c>
      <c r="AW198" s="4">
        <f t="shared" si="64"/>
        <v>0</v>
      </c>
      <c r="AX198" s="4">
        <f t="shared" si="65"/>
        <v>0</v>
      </c>
      <c r="AY198" s="4">
        <f t="shared" si="66"/>
        <v>5</v>
      </c>
      <c r="AZ198" s="4">
        <f t="shared" si="67"/>
        <v>5</v>
      </c>
    </row>
    <row r="199" spans="1:52" x14ac:dyDescent="0.3">
      <c r="A199" s="4" t="s">
        <v>64</v>
      </c>
      <c r="B199" s="4" t="s">
        <v>61</v>
      </c>
      <c r="C199" s="4" t="s">
        <v>54</v>
      </c>
      <c r="D199" s="4" t="s">
        <v>65</v>
      </c>
      <c r="E199" s="4" t="s">
        <v>55</v>
      </c>
      <c r="F199" s="4">
        <v>2</v>
      </c>
      <c r="G199" s="4">
        <v>0.04</v>
      </c>
      <c r="H199" s="4" t="b">
        <v>0</v>
      </c>
      <c r="I199" s="4" t="b">
        <v>1</v>
      </c>
      <c r="J199" s="4" t="b">
        <v>1</v>
      </c>
      <c r="K199" s="4">
        <v>2.9529999999999998</v>
      </c>
      <c r="L199" s="4">
        <v>5.1999999999999998E-2</v>
      </c>
      <c r="M199" s="4">
        <v>-5.8000000000000003E-2</v>
      </c>
      <c r="N199" s="4">
        <v>0</v>
      </c>
      <c r="O199" s="4">
        <v>0</v>
      </c>
      <c r="P199" s="4">
        <v>5.0000000000000001E-3</v>
      </c>
      <c r="Q199" s="5">
        <v>1E-3</v>
      </c>
      <c r="R199" s="5">
        <v>0.18</v>
      </c>
      <c r="S199" s="9">
        <v>2740.7310000000002</v>
      </c>
      <c r="T199" s="4">
        <v>1838.375</v>
      </c>
      <c r="U199" s="4">
        <v>1.409</v>
      </c>
      <c r="V199" s="4">
        <v>2.169</v>
      </c>
      <c r="W199" s="4">
        <v>1.351</v>
      </c>
      <c r="X199" s="4">
        <v>3.7930000000000001</v>
      </c>
      <c r="Y199" s="4">
        <v>8.7230000000000008</v>
      </c>
      <c r="Z199" s="8">
        <v>5272</v>
      </c>
      <c r="AA199" s="8">
        <v>5270</v>
      </c>
      <c r="AB199" s="4">
        <v>5270</v>
      </c>
      <c r="AC199" s="4">
        <v>0.06</v>
      </c>
      <c r="AD199" s="5">
        <v>-0.01</v>
      </c>
      <c r="AE199" s="16">
        <v>-4.0000000000000001E-3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-2.5000000000000001E-4</v>
      </c>
      <c r="AL199" s="4">
        <v>0</v>
      </c>
      <c r="AM199" s="4">
        <v>0</v>
      </c>
      <c r="AN199" s="4">
        <v>3.0000000000000001E-3</v>
      </c>
      <c r="AO199" s="5">
        <f t="shared" ref="AO199:AO231" si="68">Z199/AA199</f>
        <v>1.0003795066413663</v>
      </c>
      <c r="AP199" s="8">
        <f t="shared" ref="AP199:AP231" si="69">AB199-Z199</f>
        <v>-2</v>
      </c>
      <c r="AQ199" s="6">
        <f t="shared" ref="AQ199:AQ231" si="70">AP199/MAX(AP:AP)</f>
        <v>-1.06951871657754E-2</v>
      </c>
      <c r="AR199" s="5">
        <f t="shared" ref="AR199:AR231" si="71">AB199/AA199</f>
        <v>1</v>
      </c>
      <c r="AS199" s="5">
        <f t="shared" ref="AS199:AS231" si="72">AP199/(100*K199)</f>
        <v>-6.7727734507280731E-3</v>
      </c>
      <c r="AT199" s="5">
        <f t="shared" ref="AT199:AT231" si="73">AVERAGE(AU195:AU199)</f>
        <v>0</v>
      </c>
      <c r="AU199" s="5">
        <f t="shared" ref="AU199:AU231" si="74">(AP199-AP198)/(S199-S198)</f>
        <v>0</v>
      </c>
      <c r="AV199" s="4">
        <f t="shared" ref="AV199:AV231" si="75">IF(B199="ACCELERATION",5,0)</f>
        <v>0</v>
      </c>
      <c r="AW199" s="4">
        <f t="shared" ref="AW199:AW231" si="76">IF(B199="CRUISING",5,0)</f>
        <v>0</v>
      </c>
      <c r="AX199" s="4">
        <f t="shared" ref="AX199:AX231" si="77">IF(B199="DECELERATION",5,0)</f>
        <v>0</v>
      </c>
      <c r="AY199" s="4">
        <f t="shared" ref="AY199:AY231" si="78">IF(B199="END",5,0)</f>
        <v>5</v>
      </c>
      <c r="AZ199" s="4">
        <f t="shared" ref="AZ199:AZ231" si="79">IF(ABS(Z199-AA199)&lt;5,5,0)</f>
        <v>5</v>
      </c>
    </row>
    <row r="200" spans="1:52" x14ac:dyDescent="0.3">
      <c r="A200" s="4" t="s">
        <v>64</v>
      </c>
      <c r="B200" s="4" t="s">
        <v>61</v>
      </c>
      <c r="C200" s="4" t="s">
        <v>54</v>
      </c>
      <c r="D200" s="4" t="s">
        <v>65</v>
      </c>
      <c r="E200" s="4" t="s">
        <v>55</v>
      </c>
      <c r="F200" s="4">
        <v>2</v>
      </c>
      <c r="G200" s="4">
        <v>0.04</v>
      </c>
      <c r="H200" s="4" t="b">
        <v>0</v>
      </c>
      <c r="I200" s="4" t="b">
        <v>1</v>
      </c>
      <c r="J200" s="4" t="b">
        <v>1</v>
      </c>
      <c r="K200" s="4">
        <v>2.9529999999999998</v>
      </c>
      <c r="L200" s="4">
        <v>5.1999999999999998E-2</v>
      </c>
      <c r="M200" s="4">
        <v>-5.8000000000000003E-2</v>
      </c>
      <c r="N200" s="4">
        <v>0</v>
      </c>
      <c r="O200" s="4">
        <v>0</v>
      </c>
      <c r="P200" s="4">
        <v>5.0000000000000001E-3</v>
      </c>
      <c r="Q200" s="5">
        <v>1E-3</v>
      </c>
      <c r="R200" s="5">
        <v>0.18</v>
      </c>
      <c r="S200" s="9">
        <v>2752.0859999999998</v>
      </c>
      <c r="T200" s="4">
        <v>1838.375</v>
      </c>
      <c r="U200" s="4">
        <v>1.4039999999999999</v>
      </c>
      <c r="V200" s="4">
        <v>2.15</v>
      </c>
      <c r="W200" s="4">
        <v>1.4139999999999999</v>
      </c>
      <c r="X200" s="4">
        <v>3.27</v>
      </c>
      <c r="Y200" s="4">
        <v>8.2390000000000008</v>
      </c>
      <c r="Z200" s="8">
        <v>5272</v>
      </c>
      <c r="AA200" s="8">
        <v>5270</v>
      </c>
      <c r="AB200" s="4">
        <v>5270</v>
      </c>
      <c r="AC200" s="4">
        <v>0.06</v>
      </c>
      <c r="AD200" s="5">
        <v>-0.01</v>
      </c>
      <c r="AE200" s="16">
        <v>-4.0000000000000001E-3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3.0000000000000001E-3</v>
      </c>
      <c r="AO200" s="5">
        <f t="shared" si="68"/>
        <v>1.0003795066413663</v>
      </c>
      <c r="AP200" s="8">
        <f t="shared" si="69"/>
        <v>-2</v>
      </c>
      <c r="AQ200" s="6">
        <f t="shared" si="70"/>
        <v>-1.06951871657754E-2</v>
      </c>
      <c r="AR200" s="5">
        <f t="shared" si="71"/>
        <v>1</v>
      </c>
      <c r="AS200" s="5">
        <f t="shared" si="72"/>
        <v>-6.7727734507280731E-3</v>
      </c>
      <c r="AT200" s="5">
        <f t="shared" si="73"/>
        <v>0</v>
      </c>
      <c r="AU200" s="5">
        <f t="shared" si="74"/>
        <v>0</v>
      </c>
      <c r="AV200" s="4">
        <f t="shared" si="75"/>
        <v>0</v>
      </c>
      <c r="AW200" s="4">
        <f t="shared" si="76"/>
        <v>0</v>
      </c>
      <c r="AX200" s="4">
        <f t="shared" si="77"/>
        <v>0</v>
      </c>
      <c r="AY200" s="4">
        <f t="shared" si="78"/>
        <v>5</v>
      </c>
      <c r="AZ200" s="4">
        <f t="shared" si="79"/>
        <v>5</v>
      </c>
    </row>
    <row r="201" spans="1:52" x14ac:dyDescent="0.3">
      <c r="A201" s="4" t="s">
        <v>64</v>
      </c>
      <c r="B201" s="4" t="s">
        <v>61</v>
      </c>
      <c r="C201" s="4" t="s">
        <v>54</v>
      </c>
      <c r="D201" s="4" t="s">
        <v>65</v>
      </c>
      <c r="E201" s="4" t="s">
        <v>55</v>
      </c>
      <c r="F201" s="4">
        <v>2</v>
      </c>
      <c r="G201" s="4">
        <v>0.04</v>
      </c>
      <c r="H201" s="4" t="b">
        <v>0</v>
      </c>
      <c r="I201" s="4" t="b">
        <v>1</v>
      </c>
      <c r="J201" s="4" t="b">
        <v>1</v>
      </c>
      <c r="K201" s="4">
        <v>2.9529999999999998</v>
      </c>
      <c r="L201" s="4">
        <v>5.1999999999999998E-2</v>
      </c>
      <c r="M201" s="4">
        <v>-5.8000000000000003E-2</v>
      </c>
      <c r="N201" s="4">
        <v>0</v>
      </c>
      <c r="O201" s="4">
        <v>0</v>
      </c>
      <c r="P201" s="4">
        <v>5.0000000000000001E-3</v>
      </c>
      <c r="Q201" s="5">
        <v>1E-3</v>
      </c>
      <c r="R201" s="5">
        <v>0.18</v>
      </c>
      <c r="S201" s="9">
        <v>2762.7710000000002</v>
      </c>
      <c r="T201" s="4">
        <v>1838.375</v>
      </c>
      <c r="U201" s="4">
        <v>1.2889999999999999</v>
      </c>
      <c r="V201" s="4">
        <v>2.097</v>
      </c>
      <c r="W201" s="4">
        <v>1.4430000000000001</v>
      </c>
      <c r="X201" s="4">
        <v>3.2269999999999999</v>
      </c>
      <c r="Y201" s="4">
        <v>8.0579999999999998</v>
      </c>
      <c r="Z201" s="8">
        <v>5272</v>
      </c>
      <c r="AA201" s="8">
        <v>5270</v>
      </c>
      <c r="AB201" s="4">
        <v>5270</v>
      </c>
      <c r="AC201" s="4">
        <v>0.06</v>
      </c>
      <c r="AD201" s="5">
        <v>-0.01</v>
      </c>
      <c r="AE201" s="16">
        <v>-4.0000000000000001E-3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5">
        <f t="shared" si="68"/>
        <v>1.0003795066413663</v>
      </c>
      <c r="AP201" s="8">
        <f t="shared" si="69"/>
        <v>-2</v>
      </c>
      <c r="AQ201" s="6">
        <f t="shared" si="70"/>
        <v>-1.06951871657754E-2</v>
      </c>
      <c r="AR201" s="5">
        <f t="shared" si="71"/>
        <v>1</v>
      </c>
      <c r="AS201" s="5">
        <f t="shared" si="72"/>
        <v>-6.7727734507280731E-3</v>
      </c>
      <c r="AT201" s="5">
        <f t="shared" si="73"/>
        <v>0</v>
      </c>
      <c r="AU201" s="5">
        <f t="shared" si="74"/>
        <v>0</v>
      </c>
      <c r="AV201" s="4">
        <f t="shared" si="75"/>
        <v>0</v>
      </c>
      <c r="AW201" s="4">
        <f t="shared" si="76"/>
        <v>0</v>
      </c>
      <c r="AX201" s="4">
        <f t="shared" si="77"/>
        <v>0</v>
      </c>
      <c r="AY201" s="4">
        <f t="shared" si="78"/>
        <v>5</v>
      </c>
      <c r="AZ201" s="4">
        <f t="shared" si="79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AC2E-9B43-4660-9FB0-A7C948B129C7}">
  <dimension ref="A1"/>
  <sheetViews>
    <sheetView tabSelected="1" zoomScaleNormal="100" workbookViewId="0">
      <selection activeCell="A31" sqref="A3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 Nayal</dc:creator>
  <cp:lastModifiedBy>Murad Nayal</cp:lastModifiedBy>
  <dcterms:created xsi:type="dcterms:W3CDTF">2025-02-24T13:51:36Z</dcterms:created>
  <dcterms:modified xsi:type="dcterms:W3CDTF">2025-02-28T14:04:22Z</dcterms:modified>
</cp:coreProperties>
</file>