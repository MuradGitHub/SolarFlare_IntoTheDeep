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icro\Documents\GitHub\DancingBear\doc\"/>
    </mc:Choice>
  </mc:AlternateContent>
  <xr:revisionPtr revIDLastSave="0" documentId="13_ncr:1_{49EAF6F0-94BE-4B83-8388-C1D3C6CA57FA}" xr6:coauthVersionLast="47" xr6:coauthVersionMax="47" xr10:uidLastSave="{00000000-0000-0000-0000-000000000000}"/>
  <bookViews>
    <workbookView xWindow="13236" yWindow="540" windowWidth="24804" windowHeight="15936" activeTab="1" xr2:uid="{00000000-000D-0000-FFFF-FFFF00000000}"/>
  </bookViews>
  <sheets>
    <sheet name="People" sheetId="1" r:id="rId1"/>
    <sheet name="Table" sheetId="2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</calcChain>
</file>

<file path=xl/sharedStrings.xml><?xml version="1.0" encoding="utf-8"?>
<sst xmlns="http://schemas.openxmlformats.org/spreadsheetml/2006/main" count="71" uniqueCount="48">
  <si>
    <t>Member</t>
  </si>
  <si>
    <t>Mother</t>
  </si>
  <si>
    <t>Father</t>
  </si>
  <si>
    <t>Donation - Date</t>
  </si>
  <si>
    <t>Donation Amount</t>
  </si>
  <si>
    <t>Arjun Gupta</t>
  </si>
  <si>
    <t>Parantap Gupta</t>
  </si>
  <si>
    <t>Father Email</t>
  </si>
  <si>
    <t>Father Phone#</t>
  </si>
  <si>
    <t>Parantap@gmail.com</t>
  </si>
  <si>
    <t>Arick Khanna</t>
  </si>
  <si>
    <t>email</t>
  </si>
  <si>
    <t> khanna.arick@gmail.com</t>
  </si>
  <si>
    <t>Abhishek Khanna</t>
  </si>
  <si>
    <t>abhishek.khanna@mail.com</t>
  </si>
  <si>
    <t>Tristan Li</t>
  </si>
  <si>
    <t>Yaqiu Li</t>
  </si>
  <si>
    <t>tristan.li2010@gmail.com</t>
  </si>
  <si>
    <t xml:space="preserve"> Phone#</t>
  </si>
  <si>
    <t>yaqiuli@msn.com</t>
  </si>
  <si>
    <t>Ryan Ma</t>
  </si>
  <si>
    <t>ryancerwinma@gmail.com</t>
  </si>
  <si>
    <t>Cerwin Ma</t>
  </si>
  <si>
    <t>cerwin@alum.mit.edu</t>
  </si>
  <si>
    <t>Dani Nayal</t>
  </si>
  <si>
    <t>dani@solarflarerobotics.org</t>
  </si>
  <si>
    <t>Murad Nayal</t>
  </si>
  <si>
    <t>first@nayal.org</t>
  </si>
  <si>
    <t>Vivaan Shahani</t>
  </si>
  <si>
    <t>vivaan.shahani@gmail.com</t>
  </si>
  <si>
    <t>Suchi Shahani</t>
  </si>
  <si>
    <t>Mother Email</t>
  </si>
  <si>
    <t>suchis@gmail.com</t>
  </si>
  <si>
    <t>Mother Phone#</t>
  </si>
  <si>
    <t>Emil Sony</t>
  </si>
  <si>
    <t>emilgsony@gmail.com</t>
  </si>
  <si>
    <t>Deepthi Sony</t>
  </si>
  <si>
    <t>deepthissony@gmail.com</t>
  </si>
  <si>
    <t>Member#</t>
  </si>
  <si>
    <t>Anuj Shahani</t>
  </si>
  <si>
    <t>Lien Ma</t>
  </si>
  <si>
    <t>Donation - Year</t>
  </si>
  <si>
    <t>Sum of Donation Amount</t>
  </si>
  <si>
    <t>Row Labels</t>
  </si>
  <si>
    <t>(blank)</t>
  </si>
  <si>
    <t>Grand Total</t>
  </si>
  <si>
    <t>Member - Table</t>
  </si>
  <si>
    <t>Sony Varughese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</si>
</sst>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9" fontId="1" fillId="0" borderId="0" xfId="0" applyNumberFormat="1" applyFont="1"/>
    <xf numFmtId="169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1" fillId="0" borderId="0" xfId="0" applyNumberFormat="1" applyFont="1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ad Nayal" refreshedDate="45666.405722916665" createdVersion="8" refreshedVersion="8" minRefreshableVersion="3" recordCount="16" xr:uid="{32481A32-D492-46A0-9D68-0830B9D50592}">
  <cacheSource type="worksheet">
    <worksheetSource ref="A1:N1048576" sheet="People"/>
  </cacheSource>
  <cacheFields count="14">
    <cacheField name="Member#" numFmtId="0">
      <sharedItems containsString="0" containsBlank="1" containsNumber="1" containsInteger="1" minValue="1" maxValue="7"/>
    </cacheField>
    <cacheField name="Member" numFmtId="0">
      <sharedItems containsBlank="1"/>
    </cacheField>
    <cacheField name="Member - Table" numFmtId="0">
      <sharedItems containsBlank="1" count="8">
        <s v="Arjun Gupta"/>
        <s v="Arick Khanna"/>
        <s v="Tristan Li"/>
        <s v="Ryan Ma"/>
        <s v="Dani Nayal"/>
        <s v="Vivaan Shahani"/>
        <s v="Emil Sony"/>
        <m/>
      </sharedItems>
    </cacheField>
    <cacheField name="email" numFmtId="0">
      <sharedItems containsBlank="1"/>
    </cacheField>
    <cacheField name=" Phone#" numFmtId="0">
      <sharedItems containsString="0" containsBlank="1" containsNumber="1" containsInteger="1" minValue="9143166537" maxValue="9143166537"/>
    </cacheField>
    <cacheField name="Mother" numFmtId="0">
      <sharedItems containsBlank="1"/>
    </cacheField>
    <cacheField name="Mother Email" numFmtId="0">
      <sharedItems containsBlank="1"/>
    </cacheField>
    <cacheField name="Mother Phone#" numFmtId="0">
      <sharedItems containsString="0" containsBlank="1" containsNumber="1" containsInteger="1" minValue="6464159111" maxValue="6464159111"/>
    </cacheField>
    <cacheField name="Father" numFmtId="0">
      <sharedItems containsBlank="1"/>
    </cacheField>
    <cacheField name="Father Email" numFmtId="0">
      <sharedItems containsBlank="1"/>
    </cacheField>
    <cacheField name="Father Phone#" numFmtId="0">
      <sharedItems containsString="0" containsBlank="1" containsNumber="1" containsInteger="1" minValue="9143166537" maxValue="9172383973"/>
    </cacheField>
    <cacheField name="Donation - Date" numFmtId="169">
      <sharedItems containsNonDate="0" containsDate="1" containsString="0" containsBlank="1" minDate="2024-04-02T00:00:00" maxDate="2025-10-10T00:00:00"/>
    </cacheField>
    <cacheField name="Donation - Year" numFmtId="0">
      <sharedItems containsString="0" containsBlank="1" containsNumber="1" containsInteger="1" minValue="2024" maxValue="2025" count="3">
        <n v="2024"/>
        <n v="2025"/>
        <m/>
      </sharedItems>
    </cacheField>
    <cacheField name="Donation Amount" numFmtId="4">
      <sharedItems containsString="0" containsBlank="1" containsNumber="1" minValue="15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s v="Arjun Gupta"/>
    <x v="0"/>
    <m/>
    <m/>
    <m/>
    <m/>
    <m/>
    <s v="Parantap Gupta"/>
    <s v="Parantap@gmail.com"/>
    <m/>
    <d v="2024-10-28T00:00:00"/>
    <x v="0"/>
    <n v="645.16999999999996"/>
  </r>
  <r>
    <n v="2"/>
    <s v="Arick Khanna"/>
    <x v="1"/>
    <s v=" khanna.arick@gmail.com"/>
    <m/>
    <m/>
    <m/>
    <m/>
    <s v="Abhishek Khanna"/>
    <s v="abhishek.khanna@mail.com"/>
    <m/>
    <d v="2025-10-09T00:00:00"/>
    <x v="1"/>
    <n v="537.64"/>
  </r>
  <r>
    <m/>
    <m/>
    <x v="1"/>
    <m/>
    <m/>
    <m/>
    <m/>
    <m/>
    <m/>
    <m/>
    <m/>
    <d v="2024-09-04T00:00:00"/>
    <x v="0"/>
    <n v="537.64"/>
  </r>
  <r>
    <n v="3"/>
    <s v="Tristan Li"/>
    <x v="2"/>
    <s v="tristan.li2010@gmail.com"/>
    <n v="9143166537"/>
    <m/>
    <m/>
    <m/>
    <s v="Yaqiu Li"/>
    <s v="yaqiuli@msn.com"/>
    <n v="9143166537"/>
    <d v="2024-12-17T00:00:00"/>
    <x v="0"/>
    <n v="537.64"/>
  </r>
  <r>
    <m/>
    <m/>
    <x v="2"/>
    <m/>
    <m/>
    <m/>
    <m/>
    <m/>
    <m/>
    <m/>
    <m/>
    <d v="2024-09-09T00:00:00"/>
    <x v="0"/>
    <n v="537.64"/>
  </r>
  <r>
    <m/>
    <m/>
    <x v="2"/>
    <m/>
    <m/>
    <m/>
    <m/>
    <m/>
    <m/>
    <m/>
    <m/>
    <d v="2024-04-30T00:00:00"/>
    <x v="0"/>
    <n v="300"/>
  </r>
  <r>
    <m/>
    <m/>
    <x v="2"/>
    <m/>
    <m/>
    <m/>
    <m/>
    <m/>
    <m/>
    <m/>
    <m/>
    <d v="2024-04-02T00:00:00"/>
    <x v="0"/>
    <n v="3500"/>
  </r>
  <r>
    <n v="4"/>
    <s v="Ryan Ma"/>
    <x v="3"/>
    <s v="ryancerwinma@gmail.com"/>
    <m/>
    <s v="Lien Ma"/>
    <m/>
    <m/>
    <s v="Cerwin Ma"/>
    <s v="cerwin@alum.mit.edu"/>
    <m/>
    <d v="2025-01-08T00:00:00"/>
    <x v="1"/>
    <n v="1075.27"/>
  </r>
  <r>
    <m/>
    <m/>
    <x v="3"/>
    <m/>
    <m/>
    <m/>
    <m/>
    <m/>
    <m/>
    <m/>
    <m/>
    <d v="2024-10-09T00:00:00"/>
    <x v="0"/>
    <n v="268.82"/>
  </r>
  <r>
    <n v="5"/>
    <s v="Dani Nayal"/>
    <x v="4"/>
    <s v="dani@solarflarerobotics.org"/>
    <m/>
    <m/>
    <m/>
    <m/>
    <s v="Murad Nayal"/>
    <s v="first@nayal.org"/>
    <n v="9172383973"/>
    <d v="2024-07-30T00:00:00"/>
    <x v="0"/>
    <n v="500"/>
  </r>
  <r>
    <m/>
    <m/>
    <x v="4"/>
    <m/>
    <m/>
    <m/>
    <m/>
    <m/>
    <m/>
    <m/>
    <m/>
    <d v="2025-01-09T00:00:00"/>
    <x v="1"/>
    <n v="500"/>
  </r>
  <r>
    <n v="6"/>
    <s v="Vivaan Shahani"/>
    <x v="5"/>
    <s v="vivaan.shahani@gmail.com"/>
    <m/>
    <s v="Suchi Shahani"/>
    <s v="suchis@gmail.com"/>
    <n v="6464159111"/>
    <s v="Anuj Shahani"/>
    <m/>
    <m/>
    <d v="2025-01-08T00:00:00"/>
    <x v="1"/>
    <n v="268.82"/>
  </r>
  <r>
    <m/>
    <m/>
    <x v="5"/>
    <m/>
    <m/>
    <m/>
    <m/>
    <m/>
    <m/>
    <m/>
    <m/>
    <d v="2024-12-04T00:00:00"/>
    <x v="0"/>
    <n v="15"/>
  </r>
  <r>
    <m/>
    <m/>
    <x v="5"/>
    <m/>
    <m/>
    <m/>
    <m/>
    <m/>
    <m/>
    <m/>
    <m/>
    <d v="2024-09-04T00:00:00"/>
    <x v="0"/>
    <n v="537.64"/>
  </r>
  <r>
    <n v="7"/>
    <s v="Emil Sony"/>
    <x v="6"/>
    <s v="emilgsony@gmail.com"/>
    <m/>
    <s v="Deepthi Sony"/>
    <s v="deepthissony@gmail.com"/>
    <m/>
    <s v="Sony Varughese"/>
    <m/>
    <m/>
    <d v="2024-09-10T00:00:00"/>
    <x v="0"/>
    <n v="537.64"/>
  </r>
  <r>
    <m/>
    <m/>
    <x v="7"/>
    <m/>
    <m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AC337-FE84-4021-A7ED-393AD6315A7E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4">
    <pivotField showAll="0"/>
    <pivotField showAll="0"/>
    <pivotField axis="axisRow" showAll="0">
      <items count="9">
        <item x="1"/>
        <item x="0"/>
        <item x="4"/>
        <item x="6"/>
        <item x="3"/>
        <item x="2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2"/>
    <field x="12"/>
  </rowFields>
  <rowItems count="21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>
      <x v="4"/>
    </i>
    <i r="1">
      <x/>
    </i>
    <i r="1">
      <x v="1"/>
    </i>
    <i>
      <x v="5"/>
    </i>
    <i r="1">
      <x/>
    </i>
    <i>
      <x v="6"/>
    </i>
    <i r="1">
      <x/>
    </i>
    <i r="1">
      <x v="1"/>
    </i>
    <i>
      <x v="7"/>
    </i>
    <i r="1">
      <x v="2"/>
    </i>
    <i t="grand">
      <x/>
    </i>
  </rowItems>
  <colItems count="1">
    <i/>
  </colItems>
  <dataFields count="1">
    <dataField name="Sum of Donation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C5" sqref="A5:XFD8"/>
    </sheetView>
  </sheetViews>
  <sheetFormatPr defaultRowHeight="14.4" x14ac:dyDescent="0.3"/>
  <cols>
    <col min="1" max="1" width="8.88671875" style="3"/>
    <col min="2" max="2" width="13.33203125" style="1" bestFit="1" customWidth="1"/>
    <col min="3" max="3" width="14.44140625" bestFit="1" customWidth="1"/>
    <col min="4" max="4" width="24.21875" bestFit="1" customWidth="1"/>
    <col min="5" max="5" width="11" bestFit="1" customWidth="1"/>
    <col min="6" max="6" width="12" bestFit="1" customWidth="1"/>
    <col min="7" max="7" width="22.21875" bestFit="1" customWidth="1"/>
    <col min="8" max="8" width="14.33203125" bestFit="1" customWidth="1"/>
    <col min="9" max="9" width="14.77734375" bestFit="1" customWidth="1"/>
    <col min="10" max="10" width="24.21875" bestFit="1" customWidth="1"/>
    <col min="11" max="11" width="13.33203125" bestFit="1" customWidth="1"/>
    <col min="12" max="12" width="14.33203125" style="5" bestFit="1" customWidth="1"/>
    <col min="13" max="13" width="14.33203125" style="5" customWidth="1"/>
    <col min="14" max="14" width="16.21875" style="6" bestFit="1" customWidth="1"/>
  </cols>
  <sheetData>
    <row r="1" spans="1:14" s="1" customFormat="1" x14ac:dyDescent="0.3">
      <c r="A1" s="2" t="s">
        <v>38</v>
      </c>
      <c r="B1" s="1" t="s">
        <v>0</v>
      </c>
      <c r="C1" s="1" t="s">
        <v>46</v>
      </c>
      <c r="D1" s="1" t="s">
        <v>11</v>
      </c>
      <c r="E1" s="1" t="s">
        <v>18</v>
      </c>
      <c r="F1" s="1" t="s">
        <v>1</v>
      </c>
      <c r="G1" s="1" t="s">
        <v>31</v>
      </c>
      <c r="H1" s="1" t="s">
        <v>33</v>
      </c>
      <c r="I1" s="1" t="s">
        <v>2</v>
      </c>
      <c r="J1" s="1" t="s">
        <v>7</v>
      </c>
      <c r="K1" s="1" t="s">
        <v>8</v>
      </c>
      <c r="L1" s="4" t="s">
        <v>3</v>
      </c>
      <c r="M1" s="4" t="s">
        <v>41</v>
      </c>
      <c r="N1" s="12" t="s">
        <v>4</v>
      </c>
    </row>
    <row r="2" spans="1:14" x14ac:dyDescent="0.3">
      <c r="A2" s="3">
        <v>1</v>
      </c>
      <c r="B2" s="1" t="s">
        <v>5</v>
      </c>
      <c r="C2" t="s">
        <v>5</v>
      </c>
      <c r="H2" s="10"/>
      <c r="I2" t="s">
        <v>6</v>
      </c>
      <c r="J2" t="s">
        <v>9</v>
      </c>
      <c r="K2" s="10"/>
      <c r="L2" s="5">
        <v>45593</v>
      </c>
      <c r="M2" s="14">
        <f>YEAR(L2)</f>
        <v>2024</v>
      </c>
      <c r="N2" s="6">
        <v>645.16999999999996</v>
      </c>
    </row>
    <row r="3" spans="1:14" x14ac:dyDescent="0.3">
      <c r="A3" s="8">
        <v>2</v>
      </c>
      <c r="B3" s="19" t="s">
        <v>10</v>
      </c>
      <c r="C3" s="11" t="s">
        <v>10</v>
      </c>
      <c r="D3" s="9" t="s">
        <v>12</v>
      </c>
      <c r="E3" s="7"/>
      <c r="F3" s="7"/>
      <c r="G3" s="7"/>
      <c r="H3" s="8"/>
      <c r="I3" s="9" t="s">
        <v>13</v>
      </c>
      <c r="J3" s="9" t="s">
        <v>14</v>
      </c>
      <c r="K3" s="8"/>
      <c r="L3" s="5">
        <v>45939</v>
      </c>
      <c r="M3" s="14">
        <f t="shared" ref="M3:M16" si="0">YEAR(L3)</f>
        <v>2025</v>
      </c>
      <c r="N3" s="6">
        <v>537.64</v>
      </c>
    </row>
    <row r="4" spans="1:14" x14ac:dyDescent="0.3">
      <c r="A4" s="8"/>
      <c r="B4" s="19"/>
      <c r="C4" s="11" t="s">
        <v>10</v>
      </c>
      <c r="D4" s="9"/>
      <c r="E4" s="7"/>
      <c r="F4" s="7"/>
      <c r="G4" s="7"/>
      <c r="H4" s="8"/>
      <c r="I4" s="9"/>
      <c r="J4" s="9"/>
      <c r="K4" s="8"/>
      <c r="L4" s="5">
        <v>45539</v>
      </c>
      <c r="M4" s="14">
        <f t="shared" si="0"/>
        <v>2024</v>
      </c>
      <c r="N4" s="6">
        <v>537.64</v>
      </c>
    </row>
    <row r="5" spans="1:14" x14ac:dyDescent="0.3">
      <c r="A5" s="8">
        <v>3</v>
      </c>
      <c r="B5" s="19" t="s">
        <v>15</v>
      </c>
      <c r="C5" s="11" t="s">
        <v>15</v>
      </c>
      <c r="D5" s="9" t="s">
        <v>17</v>
      </c>
      <c r="E5" s="9">
        <v>9143166537</v>
      </c>
      <c r="F5" s="7"/>
      <c r="G5" s="7"/>
      <c r="H5" s="8"/>
      <c r="I5" s="9" t="s">
        <v>16</v>
      </c>
      <c r="J5" s="13" t="s">
        <v>19</v>
      </c>
      <c r="K5" s="8">
        <v>9143166537</v>
      </c>
      <c r="L5" s="5">
        <v>45643</v>
      </c>
      <c r="M5" s="14">
        <f t="shared" si="0"/>
        <v>2024</v>
      </c>
      <c r="N5" s="6">
        <v>537.64</v>
      </c>
    </row>
    <row r="6" spans="1:14" x14ac:dyDescent="0.3">
      <c r="A6" s="8"/>
      <c r="B6" s="19"/>
      <c r="C6" s="11" t="s">
        <v>15</v>
      </c>
      <c r="D6" s="9"/>
      <c r="E6" s="9"/>
      <c r="F6" s="7"/>
      <c r="G6" s="7"/>
      <c r="H6" s="8"/>
      <c r="I6" s="9"/>
      <c r="J6" s="13"/>
      <c r="K6" s="8"/>
      <c r="L6" s="5">
        <v>45544</v>
      </c>
      <c r="M6" s="14">
        <f t="shared" si="0"/>
        <v>2024</v>
      </c>
      <c r="N6" s="6">
        <v>537.64</v>
      </c>
    </row>
    <row r="7" spans="1:14" x14ac:dyDescent="0.3">
      <c r="A7" s="8"/>
      <c r="B7" s="19"/>
      <c r="C7" s="11" t="s">
        <v>15</v>
      </c>
      <c r="D7" s="9"/>
      <c r="E7" s="9"/>
      <c r="F7" s="7"/>
      <c r="G7" s="7"/>
      <c r="H7" s="8"/>
      <c r="I7" s="9"/>
      <c r="J7" s="13"/>
      <c r="K7" s="8"/>
      <c r="L7" s="5">
        <v>45412</v>
      </c>
      <c r="M7" s="14">
        <f t="shared" si="0"/>
        <v>2024</v>
      </c>
      <c r="N7" s="6">
        <v>300</v>
      </c>
    </row>
    <row r="8" spans="1:14" x14ac:dyDescent="0.3">
      <c r="A8" s="8"/>
      <c r="B8" s="19"/>
      <c r="C8" s="11" t="s">
        <v>15</v>
      </c>
      <c r="D8" s="9"/>
      <c r="E8" s="9"/>
      <c r="F8" s="7"/>
      <c r="G8" s="7"/>
      <c r="H8" s="8"/>
      <c r="I8" s="9"/>
      <c r="J8" s="13"/>
      <c r="K8" s="8"/>
      <c r="L8" s="5">
        <v>45384</v>
      </c>
      <c r="M8" s="14">
        <f t="shared" si="0"/>
        <v>2024</v>
      </c>
      <c r="N8" s="6">
        <v>3500</v>
      </c>
    </row>
    <row r="9" spans="1:14" x14ac:dyDescent="0.3">
      <c r="A9" s="8">
        <v>4</v>
      </c>
      <c r="B9" s="19" t="s">
        <v>20</v>
      </c>
      <c r="C9" s="11" t="s">
        <v>20</v>
      </c>
      <c r="D9" s="9" t="s">
        <v>21</v>
      </c>
      <c r="E9" s="7"/>
      <c r="F9" s="9" t="s">
        <v>40</v>
      </c>
      <c r="G9" s="7"/>
      <c r="H9" s="8"/>
      <c r="I9" s="9" t="s">
        <v>22</v>
      </c>
      <c r="J9" s="9" t="s">
        <v>23</v>
      </c>
      <c r="K9" s="8"/>
      <c r="L9" s="5">
        <v>45665</v>
      </c>
      <c r="M9" s="14">
        <f t="shared" si="0"/>
        <v>2025</v>
      </c>
      <c r="N9" s="6">
        <v>1075.27</v>
      </c>
    </row>
    <row r="10" spans="1:14" x14ac:dyDescent="0.3">
      <c r="A10" s="8"/>
      <c r="B10" s="19"/>
      <c r="C10" s="11" t="s">
        <v>20</v>
      </c>
      <c r="D10" s="9"/>
      <c r="E10" s="7"/>
      <c r="F10" s="9"/>
      <c r="G10" s="7"/>
      <c r="H10" s="8"/>
      <c r="I10" s="9"/>
      <c r="J10" s="9"/>
      <c r="K10" s="8"/>
      <c r="L10" s="5">
        <v>45574</v>
      </c>
      <c r="M10" s="14">
        <f t="shared" si="0"/>
        <v>2024</v>
      </c>
      <c r="N10" s="6">
        <v>268.82</v>
      </c>
    </row>
    <row r="11" spans="1:14" x14ac:dyDescent="0.3">
      <c r="A11" s="8">
        <v>5</v>
      </c>
      <c r="B11" s="19" t="s">
        <v>24</v>
      </c>
      <c r="C11" s="11" t="s">
        <v>24</v>
      </c>
      <c r="D11" s="9" t="s">
        <v>25</v>
      </c>
      <c r="E11" s="7"/>
      <c r="F11" s="7"/>
      <c r="G11" s="7"/>
      <c r="H11" s="8"/>
      <c r="I11" s="9" t="s">
        <v>26</v>
      </c>
      <c r="J11" s="9" t="s">
        <v>27</v>
      </c>
      <c r="K11" s="8">
        <v>9172383973</v>
      </c>
      <c r="L11" s="5">
        <v>45503</v>
      </c>
      <c r="M11" s="14">
        <f t="shared" si="0"/>
        <v>2024</v>
      </c>
      <c r="N11" s="6">
        <v>500</v>
      </c>
    </row>
    <row r="12" spans="1:14" x14ac:dyDescent="0.3">
      <c r="A12" s="8"/>
      <c r="B12" s="19"/>
      <c r="C12" s="11" t="s">
        <v>24</v>
      </c>
      <c r="D12" s="9"/>
      <c r="E12" s="7"/>
      <c r="F12" s="7"/>
      <c r="G12" s="7"/>
      <c r="H12" s="8"/>
      <c r="I12" s="9"/>
      <c r="J12" s="9"/>
      <c r="K12" s="8"/>
      <c r="L12" s="5">
        <v>45666</v>
      </c>
      <c r="M12" s="14">
        <f t="shared" si="0"/>
        <v>2025</v>
      </c>
      <c r="N12" s="6">
        <v>500</v>
      </c>
    </row>
    <row r="13" spans="1:14" x14ac:dyDescent="0.3">
      <c r="A13" s="8">
        <v>6</v>
      </c>
      <c r="B13" s="19" t="s">
        <v>28</v>
      </c>
      <c r="C13" s="11" t="s">
        <v>28</v>
      </c>
      <c r="D13" s="9" t="s">
        <v>29</v>
      </c>
      <c r="E13" s="7"/>
      <c r="F13" s="9" t="s">
        <v>30</v>
      </c>
      <c r="G13" s="9" t="s">
        <v>32</v>
      </c>
      <c r="H13" s="8">
        <v>6464159111</v>
      </c>
      <c r="I13" s="9" t="s">
        <v>39</v>
      </c>
      <c r="J13" s="7"/>
      <c r="K13" s="8"/>
      <c r="L13" s="5">
        <v>45665</v>
      </c>
      <c r="M13" s="14">
        <f t="shared" si="0"/>
        <v>2025</v>
      </c>
      <c r="N13" s="6">
        <v>268.82</v>
      </c>
    </row>
    <row r="14" spans="1:14" x14ac:dyDescent="0.3">
      <c r="A14" s="8"/>
      <c r="B14" s="19"/>
      <c r="C14" s="11" t="s">
        <v>28</v>
      </c>
      <c r="D14" s="9"/>
      <c r="E14" s="7"/>
      <c r="F14" s="9"/>
      <c r="G14" s="9"/>
      <c r="H14" s="8"/>
      <c r="I14" s="9"/>
      <c r="J14" s="7"/>
      <c r="K14" s="8"/>
      <c r="L14" s="5">
        <v>45630</v>
      </c>
      <c r="M14" s="14">
        <f t="shared" si="0"/>
        <v>2024</v>
      </c>
      <c r="N14" s="6">
        <v>15</v>
      </c>
    </row>
    <row r="15" spans="1:14" x14ac:dyDescent="0.3">
      <c r="A15" s="8"/>
      <c r="B15" s="19"/>
      <c r="C15" s="11" t="s">
        <v>28</v>
      </c>
      <c r="D15" s="9"/>
      <c r="E15" s="7"/>
      <c r="F15" s="9"/>
      <c r="G15" s="9"/>
      <c r="H15" s="8"/>
      <c r="I15" s="9"/>
      <c r="J15" s="7"/>
      <c r="K15" s="8"/>
      <c r="L15" s="5">
        <v>45539</v>
      </c>
      <c r="M15" s="14">
        <f t="shared" si="0"/>
        <v>2024</v>
      </c>
      <c r="N15" s="6">
        <v>537.64</v>
      </c>
    </row>
    <row r="16" spans="1:14" x14ac:dyDescent="0.3">
      <c r="A16" s="3">
        <v>7</v>
      </c>
      <c r="B16" s="1" t="s">
        <v>34</v>
      </c>
      <c r="C16" t="s">
        <v>34</v>
      </c>
      <c r="D16" t="s">
        <v>35</v>
      </c>
      <c r="F16" t="s">
        <v>36</v>
      </c>
      <c r="G16" t="s">
        <v>37</v>
      </c>
      <c r="H16" s="10"/>
      <c r="I16" s="11" t="s">
        <v>47</v>
      </c>
      <c r="K16" s="10"/>
      <c r="L16" s="5">
        <v>45545</v>
      </c>
      <c r="M16" s="20">
        <f t="shared" si="0"/>
        <v>2024</v>
      </c>
      <c r="N16" s="6">
        <v>537.64</v>
      </c>
    </row>
  </sheetData>
  <mergeCells count="50">
    <mergeCell ref="B13:B15"/>
    <mergeCell ref="I5:I8"/>
    <mergeCell ref="J5:J8"/>
    <mergeCell ref="K5:K8"/>
    <mergeCell ref="I3:I4"/>
    <mergeCell ref="J3:J4"/>
    <mergeCell ref="K3:K4"/>
    <mergeCell ref="A5:A8"/>
    <mergeCell ref="B5:B8"/>
    <mergeCell ref="D5:D8"/>
    <mergeCell ref="E5:E8"/>
    <mergeCell ref="F5:F8"/>
    <mergeCell ref="G5:G8"/>
    <mergeCell ref="H5:H8"/>
    <mergeCell ref="A13:A15"/>
    <mergeCell ref="K13:K15"/>
    <mergeCell ref="J13:J15"/>
    <mergeCell ref="A3:A4"/>
    <mergeCell ref="B3:B4"/>
    <mergeCell ref="D3:D4"/>
    <mergeCell ref="E3:E4"/>
    <mergeCell ref="F3:F4"/>
    <mergeCell ref="G3:G4"/>
    <mergeCell ref="H3:H4"/>
    <mergeCell ref="H13:H15"/>
    <mergeCell ref="G13:G15"/>
    <mergeCell ref="F13:F15"/>
    <mergeCell ref="E13:E15"/>
    <mergeCell ref="D13:D15"/>
    <mergeCell ref="G11:G12"/>
    <mergeCell ref="F11:F12"/>
    <mergeCell ref="E11:E12"/>
    <mergeCell ref="D11:D12"/>
    <mergeCell ref="B11:B12"/>
    <mergeCell ref="A11:A12"/>
    <mergeCell ref="K11:K12"/>
    <mergeCell ref="J11:J12"/>
    <mergeCell ref="I11:I12"/>
    <mergeCell ref="H11:H12"/>
    <mergeCell ref="I13:I15"/>
    <mergeCell ref="H9:H10"/>
    <mergeCell ref="I9:I10"/>
    <mergeCell ref="J9:J10"/>
    <mergeCell ref="K9:K10"/>
    <mergeCell ref="A9:A10"/>
    <mergeCell ref="B9:B10"/>
    <mergeCell ref="D9:D10"/>
    <mergeCell ref="E9:E10"/>
    <mergeCell ref="F9:F10"/>
    <mergeCell ref="G9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CE78-C934-40C0-B251-F80F21628655}">
  <dimension ref="A3:B24"/>
  <sheetViews>
    <sheetView tabSelected="1" workbookViewId="0">
      <selection activeCell="A3" sqref="A3"/>
    </sheetView>
  </sheetViews>
  <sheetFormatPr defaultRowHeight="14.4" x14ac:dyDescent="0.3"/>
  <cols>
    <col min="1" max="1" width="16.109375" bestFit="1" customWidth="1"/>
    <col min="2" max="2" width="22.88671875" bestFit="1" customWidth="1"/>
  </cols>
  <sheetData>
    <row r="3" spans="1:2" x14ac:dyDescent="0.3">
      <c r="A3" s="16" t="s">
        <v>43</v>
      </c>
      <c r="B3" t="s">
        <v>42</v>
      </c>
    </row>
    <row r="4" spans="1:2" x14ac:dyDescent="0.3">
      <c r="A4" s="17" t="s">
        <v>10</v>
      </c>
      <c r="B4" s="15">
        <v>1075.28</v>
      </c>
    </row>
    <row r="5" spans="1:2" x14ac:dyDescent="0.3">
      <c r="A5" s="18">
        <v>2024</v>
      </c>
      <c r="B5" s="15">
        <v>537.64</v>
      </c>
    </row>
    <row r="6" spans="1:2" x14ac:dyDescent="0.3">
      <c r="A6" s="18">
        <v>2025</v>
      </c>
      <c r="B6" s="15">
        <v>537.64</v>
      </c>
    </row>
    <row r="7" spans="1:2" x14ac:dyDescent="0.3">
      <c r="A7" s="17" t="s">
        <v>5</v>
      </c>
      <c r="B7" s="15">
        <v>645.16999999999996</v>
      </c>
    </row>
    <row r="8" spans="1:2" x14ac:dyDescent="0.3">
      <c r="A8" s="18">
        <v>2024</v>
      </c>
      <c r="B8" s="15">
        <v>645.16999999999996</v>
      </c>
    </row>
    <row r="9" spans="1:2" x14ac:dyDescent="0.3">
      <c r="A9" s="17" t="s">
        <v>24</v>
      </c>
      <c r="B9" s="15">
        <v>1000</v>
      </c>
    </row>
    <row r="10" spans="1:2" x14ac:dyDescent="0.3">
      <c r="A10" s="18">
        <v>2024</v>
      </c>
      <c r="B10" s="15">
        <v>500</v>
      </c>
    </row>
    <row r="11" spans="1:2" x14ac:dyDescent="0.3">
      <c r="A11" s="18">
        <v>2025</v>
      </c>
      <c r="B11" s="15">
        <v>500</v>
      </c>
    </row>
    <row r="12" spans="1:2" x14ac:dyDescent="0.3">
      <c r="A12" s="17" t="s">
        <v>34</v>
      </c>
      <c r="B12" s="15">
        <v>537.64</v>
      </c>
    </row>
    <row r="13" spans="1:2" x14ac:dyDescent="0.3">
      <c r="A13" s="18">
        <v>2024</v>
      </c>
      <c r="B13" s="15">
        <v>537.64</v>
      </c>
    </row>
    <row r="14" spans="1:2" x14ac:dyDescent="0.3">
      <c r="A14" s="17" t="s">
        <v>20</v>
      </c>
      <c r="B14" s="15">
        <v>1344.09</v>
      </c>
    </row>
    <row r="15" spans="1:2" x14ac:dyDescent="0.3">
      <c r="A15" s="18">
        <v>2024</v>
      </c>
      <c r="B15" s="15">
        <v>268.82</v>
      </c>
    </row>
    <row r="16" spans="1:2" x14ac:dyDescent="0.3">
      <c r="A16" s="18">
        <v>2025</v>
      </c>
      <c r="B16" s="15">
        <v>1075.27</v>
      </c>
    </row>
    <row r="17" spans="1:2" x14ac:dyDescent="0.3">
      <c r="A17" s="17" t="s">
        <v>15</v>
      </c>
      <c r="B17" s="15">
        <v>4875.28</v>
      </c>
    </row>
    <row r="18" spans="1:2" x14ac:dyDescent="0.3">
      <c r="A18" s="18">
        <v>2024</v>
      </c>
      <c r="B18" s="15">
        <v>4875.28</v>
      </c>
    </row>
    <row r="19" spans="1:2" x14ac:dyDescent="0.3">
      <c r="A19" s="17" t="s">
        <v>28</v>
      </c>
      <c r="B19" s="15">
        <v>821.46</v>
      </c>
    </row>
    <row r="20" spans="1:2" x14ac:dyDescent="0.3">
      <c r="A20" s="18">
        <v>2024</v>
      </c>
      <c r="B20" s="15">
        <v>552.64</v>
      </c>
    </row>
    <row r="21" spans="1:2" x14ac:dyDescent="0.3">
      <c r="A21" s="18">
        <v>2025</v>
      </c>
      <c r="B21" s="15">
        <v>268.82</v>
      </c>
    </row>
    <row r="22" spans="1:2" x14ac:dyDescent="0.3">
      <c r="A22" s="17" t="s">
        <v>44</v>
      </c>
      <c r="B22" s="15"/>
    </row>
    <row r="23" spans="1:2" x14ac:dyDescent="0.3">
      <c r="A23" s="18" t="s">
        <v>44</v>
      </c>
      <c r="B23" s="15"/>
    </row>
    <row r="24" spans="1:2" x14ac:dyDescent="0.3">
      <c r="A24" s="17" t="s">
        <v>45</v>
      </c>
      <c r="B24" s="15">
        <v>10298.919999999998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 Nayal</dc:creator>
  <cp:lastModifiedBy>Murad Nayal</cp:lastModifiedBy>
  <dcterms:created xsi:type="dcterms:W3CDTF">2015-06-05T18:17:20Z</dcterms:created>
  <dcterms:modified xsi:type="dcterms:W3CDTF">2025-01-09T14:58:06Z</dcterms:modified>
</cp:coreProperties>
</file>