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cuments\GitHub\DancingBears\TeamCode\doc\"/>
    </mc:Choice>
  </mc:AlternateContent>
  <xr:revisionPtr revIDLastSave="0" documentId="13_ncr:1_{A61D9E1B-7771-46E0-881D-21709539F524}" xr6:coauthVersionLast="47" xr6:coauthVersionMax="47" xr10:uidLastSave="{00000000-0000-0000-0000-000000000000}"/>
  <bookViews>
    <workbookView xWindow="6168" yWindow="1848" windowWidth="21084" windowHeight="12240" activeTab="1" xr2:uid="{F5966FC0-DBE1-45A7-993D-65C986879A0E}"/>
  </bookViews>
  <sheets>
    <sheet name="Daddy's World" sheetId="1" r:id="rId1"/>
    <sheet name="Error &amp; Derivativ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  <c r="D2" i="2"/>
  <c r="D3" i="2"/>
  <c r="D13" i="2"/>
  <c r="D14" i="2"/>
  <c r="D15" i="2"/>
  <c r="D16" i="2"/>
  <c r="E16" i="2" s="1"/>
  <c r="D17" i="2"/>
  <c r="D18" i="2"/>
  <c r="D19" i="2"/>
  <c r="D20" i="2"/>
  <c r="D25" i="2"/>
  <c r="D26" i="2"/>
  <c r="D27" i="2"/>
  <c r="D28" i="2"/>
  <c r="D29" i="2"/>
  <c r="D30" i="2"/>
  <c r="D31" i="2"/>
  <c r="D32" i="2"/>
  <c r="D24" i="2"/>
  <c r="D5" i="2"/>
  <c r="D6" i="2"/>
  <c r="D7" i="2"/>
  <c r="D8" i="2"/>
  <c r="D9" i="2"/>
  <c r="D10" i="2"/>
  <c r="E10" i="2" s="1"/>
  <c r="D11" i="2"/>
  <c r="D12" i="2"/>
  <c r="D4" i="2"/>
  <c r="D2" i="1"/>
  <c r="E2" i="1" s="1"/>
  <c r="F2" i="1" s="1"/>
  <c r="H2" i="1" s="1"/>
  <c r="D3" i="1"/>
  <c r="E3" i="1" s="1"/>
  <c r="F3" i="1" s="1"/>
  <c r="H3" i="1" s="1"/>
  <c r="D4" i="1"/>
  <c r="E4" i="1" s="1"/>
  <c r="F4" i="1" s="1"/>
  <c r="H4" i="1" s="1"/>
  <c r="D5" i="1"/>
  <c r="E5" i="1" s="1"/>
  <c r="F5" i="1" s="1"/>
  <c r="H5" i="1" s="1"/>
  <c r="D6" i="1"/>
  <c r="E6" i="1" s="1"/>
  <c r="F6" i="1" s="1"/>
  <c r="H6" i="1" s="1"/>
  <c r="D7" i="1"/>
  <c r="E7" i="1" s="1"/>
  <c r="F7" i="1" s="1"/>
  <c r="H7" i="1" s="1"/>
  <c r="D8" i="1"/>
  <c r="E8" i="1" s="1"/>
  <c r="F8" i="1" s="1"/>
  <c r="H8" i="1" s="1"/>
  <c r="D9" i="1"/>
  <c r="E9" i="1" s="1"/>
  <c r="F9" i="1" s="1"/>
  <c r="H9" i="1" s="1"/>
  <c r="D10" i="1"/>
  <c r="E10" i="1" s="1"/>
  <c r="F10" i="1" s="1"/>
  <c r="H10" i="1" s="1"/>
  <c r="D11" i="1"/>
  <c r="E11" i="1" s="1"/>
  <c r="F11" i="1" s="1"/>
  <c r="H11" i="1" s="1"/>
  <c r="D12" i="1"/>
  <c r="E12" i="1" s="1"/>
  <c r="F12" i="1" s="1"/>
  <c r="H12" i="1" s="1"/>
  <c r="D13" i="1"/>
  <c r="E13" i="1" s="1"/>
  <c r="F13" i="1" s="1"/>
  <c r="H13" i="1" s="1"/>
  <c r="D14" i="1"/>
  <c r="E14" i="1" s="1"/>
  <c r="F14" i="1" s="1"/>
  <c r="H14" i="1" s="1"/>
  <c r="D15" i="1"/>
  <c r="E15" i="1" s="1"/>
  <c r="F15" i="1" s="1"/>
  <c r="H15" i="1" s="1"/>
  <c r="D16" i="1"/>
  <c r="E16" i="1" s="1"/>
  <c r="F16" i="1" s="1"/>
  <c r="H16" i="1" s="1"/>
  <c r="D17" i="1"/>
  <c r="E17" i="1" s="1"/>
  <c r="F17" i="1" s="1"/>
  <c r="H17" i="1" s="1"/>
  <c r="D18" i="1"/>
  <c r="E18" i="1" s="1"/>
  <c r="F18" i="1" s="1"/>
  <c r="H18" i="1" s="1"/>
  <c r="D19" i="1"/>
  <c r="E19" i="1" s="1"/>
  <c r="F19" i="1" s="1"/>
  <c r="H19" i="1" s="1"/>
  <c r="D20" i="1"/>
  <c r="E20" i="1" s="1"/>
  <c r="F20" i="1" s="1"/>
  <c r="H20" i="1" s="1"/>
  <c r="D21" i="1"/>
  <c r="E21" i="1" s="1"/>
  <c r="F21" i="1" s="1"/>
  <c r="H21" i="1" s="1"/>
  <c r="D22" i="1"/>
  <c r="E22" i="1" s="1"/>
  <c r="F22" i="1" s="1"/>
  <c r="H22" i="1" s="1"/>
  <c r="D23" i="1"/>
  <c r="E23" i="1" s="1"/>
  <c r="F23" i="1" s="1"/>
  <c r="H23" i="1" s="1"/>
  <c r="D24" i="1"/>
  <c r="E24" i="1" s="1"/>
  <c r="F24" i="1" s="1"/>
  <c r="H24" i="1" s="1"/>
  <c r="D25" i="1"/>
  <c r="E25" i="1" s="1"/>
  <c r="F25" i="1" s="1"/>
  <c r="H25" i="1" s="1"/>
  <c r="D26" i="1"/>
  <c r="E26" i="1" s="1"/>
  <c r="F26" i="1" s="1"/>
  <c r="H26" i="1" s="1"/>
  <c r="D27" i="1"/>
  <c r="E27" i="1" s="1"/>
  <c r="F27" i="1" s="1"/>
  <c r="H27" i="1" s="1"/>
  <c r="D28" i="1"/>
  <c r="E28" i="1" s="1"/>
  <c r="F28" i="1" s="1"/>
  <c r="H28" i="1" s="1"/>
  <c r="D29" i="1"/>
  <c r="E29" i="1" s="1"/>
  <c r="F29" i="1" s="1"/>
  <c r="H29" i="1" s="1"/>
  <c r="D30" i="1"/>
  <c r="E30" i="1" s="1"/>
  <c r="F30" i="1" s="1"/>
  <c r="H30" i="1" s="1"/>
  <c r="D31" i="1"/>
  <c r="E31" i="1" s="1"/>
  <c r="F31" i="1" s="1"/>
  <c r="H31" i="1" s="1"/>
  <c r="C5" i="1"/>
  <c r="C6" i="1"/>
  <c r="C17" i="1"/>
  <c r="C19" i="1"/>
  <c r="C20" i="1"/>
  <c r="C26" i="1"/>
  <c r="C27" i="1"/>
  <c r="C28" i="1"/>
  <c r="C29" i="1"/>
  <c r="C30" i="1"/>
  <c r="C31" i="1"/>
  <c r="C4" i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8" i="1" s="1"/>
  <c r="B18" i="1"/>
  <c r="B19" i="1"/>
  <c r="B20" i="1"/>
  <c r="B21" i="1"/>
  <c r="C21" i="1" s="1"/>
  <c r="B22" i="1"/>
  <c r="C22" i="1" s="1"/>
  <c r="B23" i="1"/>
  <c r="C23" i="1" s="1"/>
  <c r="B24" i="1"/>
  <c r="C24" i="1" s="1"/>
  <c r="B7" i="1"/>
  <c r="C7" i="1" s="1"/>
  <c r="E31" i="2" l="1"/>
  <c r="E4" i="2"/>
  <c r="F4" i="2" s="1"/>
  <c r="G4" i="2" s="1"/>
  <c r="J4" i="2" s="1"/>
  <c r="E3" i="2"/>
  <c r="F3" i="2" s="1"/>
  <c r="G3" i="2" s="1"/>
  <c r="J3" i="2" s="1"/>
  <c r="E8" i="2"/>
  <c r="F8" i="2" s="1"/>
  <c r="G8" i="2" s="1"/>
  <c r="J8" i="2" s="1"/>
  <c r="F16" i="2"/>
  <c r="G16" i="2" s="1"/>
  <c r="J16" i="2" s="1"/>
  <c r="E19" i="2"/>
  <c r="F19" i="2" s="1"/>
  <c r="G19" i="2" s="1"/>
  <c r="J19" i="2" s="1"/>
  <c r="E32" i="2"/>
  <c r="E20" i="2"/>
  <c r="F20" i="2" s="1"/>
  <c r="G20" i="2" s="1"/>
  <c r="J20" i="2" s="1"/>
  <c r="E15" i="2"/>
  <c r="F15" i="2" s="1"/>
  <c r="G15" i="2" s="1"/>
  <c r="J15" i="2" s="1"/>
  <c r="E18" i="2"/>
  <c r="F18" i="2" s="1"/>
  <c r="G18" i="2" s="1"/>
  <c r="J18" i="2" s="1"/>
  <c r="E14" i="2"/>
  <c r="F14" i="2" s="1"/>
  <c r="G14" i="2" s="1"/>
  <c r="J14" i="2" s="1"/>
  <c r="E13" i="2"/>
  <c r="F13" i="2" s="1"/>
  <c r="G13" i="2" s="1"/>
  <c r="J13" i="2" s="1"/>
  <c r="E17" i="2"/>
  <c r="F17" i="2" s="1"/>
  <c r="G17" i="2" s="1"/>
  <c r="J17" i="2" s="1"/>
  <c r="E7" i="2"/>
  <c r="F7" i="2" s="1"/>
  <c r="G7" i="2" s="1"/>
  <c r="J7" i="2" s="1"/>
  <c r="E6" i="2"/>
  <c r="F6" i="2" s="1"/>
  <c r="G6" i="2" s="1"/>
  <c r="J6" i="2" s="1"/>
  <c r="E26" i="2"/>
  <c r="E30" i="2"/>
  <c r="E27" i="2"/>
  <c r="E25" i="2"/>
  <c r="F10" i="2"/>
  <c r="G10" i="2" s="1"/>
  <c r="J10" i="2" s="1"/>
  <c r="E29" i="2"/>
  <c r="E11" i="2"/>
  <c r="F11" i="2" s="1"/>
  <c r="G11" i="2" s="1"/>
  <c r="J11" i="2" s="1"/>
  <c r="E9" i="2"/>
  <c r="F9" i="2" s="1"/>
  <c r="G9" i="2" s="1"/>
  <c r="J9" i="2" s="1"/>
  <c r="E5" i="2"/>
  <c r="F5" i="2" s="1"/>
  <c r="G5" i="2" s="1"/>
  <c r="J5" i="2" s="1"/>
  <c r="E12" i="2"/>
  <c r="F12" i="2" s="1"/>
  <c r="G12" i="2" s="1"/>
  <c r="J12" i="2" s="1"/>
  <c r="E28" i="2"/>
  <c r="C25" i="1"/>
</calcChain>
</file>

<file path=xl/sharedStrings.xml><?xml version="1.0" encoding="utf-8"?>
<sst xmlns="http://schemas.openxmlformats.org/spreadsheetml/2006/main" count="38" uniqueCount="21">
  <si>
    <t>t</t>
  </si>
  <si>
    <t>Speed</t>
  </si>
  <si>
    <t>Error</t>
  </si>
  <si>
    <t>Position</t>
  </si>
  <si>
    <t>Kp</t>
  </si>
  <si>
    <t>Power PID</t>
  </si>
  <si>
    <t>Expected Trajectory using PID ONLY</t>
  </si>
  <si>
    <t>Feedforward Power Term</t>
  </si>
  <si>
    <t>PIDF Power</t>
  </si>
  <si>
    <t>Target</t>
  </si>
  <si>
    <t>Error Derivative</t>
  </si>
  <si>
    <t>State</t>
  </si>
  <si>
    <t>Cruising</t>
  </si>
  <si>
    <t>Braking</t>
  </si>
  <si>
    <t>Error/Der</t>
  </si>
  <si>
    <t>AtTarget</t>
  </si>
  <si>
    <t>Reversing</t>
  </si>
  <si>
    <t>-Error/Der</t>
  </si>
  <si>
    <t>-Error/Der &lt;= 2</t>
  </si>
  <si>
    <t>abs(Error/Der)</t>
  </si>
  <si>
    <t>abs(Error/Der) &lt;=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</si>
</sst>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4D31-E078-4CB9-A035-21297C8D78A9}">
  <dimension ref="A1:L31"/>
  <sheetViews>
    <sheetView workbookViewId="0">
      <selection activeCell="J17" sqref="J17"/>
    </sheetView>
  </sheetViews>
  <sheetFormatPr defaultColWidth="8.6640625" defaultRowHeight="14.4" x14ac:dyDescent="0.3"/>
  <cols>
    <col min="1" max="1" width="6.5546875" style="1" customWidth="1"/>
    <col min="2" max="2" width="31.44140625" style="1" hidden="1" customWidth="1"/>
    <col min="3" max="3" width="6.21875" style="1" hidden="1" customWidth="1"/>
    <col min="4" max="4" width="7.77734375" style="1" hidden="1" customWidth="1"/>
    <col min="5" max="5" width="5.109375" style="1" hidden="1" customWidth="1"/>
    <col min="6" max="6" width="9.6640625" style="1" hidden="1" customWidth="1"/>
    <col min="7" max="7" width="22.5546875" style="1" bestFit="1" customWidth="1"/>
    <col min="8" max="8" width="10.5546875" style="1" bestFit="1" customWidth="1"/>
    <col min="11" max="11" width="6.33203125" customWidth="1"/>
    <col min="12" max="12" width="6.77734375" customWidth="1"/>
  </cols>
  <sheetData>
    <row r="1" spans="1:12" x14ac:dyDescent="0.3">
      <c r="A1" s="2" t="s">
        <v>0</v>
      </c>
      <c r="B1" s="2" t="s">
        <v>6</v>
      </c>
      <c r="C1" s="2" t="s">
        <v>1</v>
      </c>
      <c r="D1" s="2" t="s">
        <v>3</v>
      </c>
      <c r="E1" s="2" t="s">
        <v>2</v>
      </c>
      <c r="F1" s="2" t="s">
        <v>5</v>
      </c>
      <c r="G1" s="2" t="s">
        <v>7</v>
      </c>
      <c r="H1" s="2" t="s">
        <v>8</v>
      </c>
      <c r="K1" t="s">
        <v>4</v>
      </c>
      <c r="L1">
        <v>1.4999999999999999E-2</v>
      </c>
    </row>
    <row r="2" spans="1:12" x14ac:dyDescent="0.3">
      <c r="A2" s="1">
        <v>0</v>
      </c>
      <c r="B2" s="1">
        <v>0</v>
      </c>
      <c r="C2" s="1">
        <v>0</v>
      </c>
      <c r="D2" s="1">
        <f ca="1">INT(B2+NORMINV(RAND(),0,3))</f>
        <v>-3</v>
      </c>
      <c r="E2" s="1">
        <f ca="1">($B$31-D2)</f>
        <v>113</v>
      </c>
      <c r="F2" s="1">
        <f ca="1">$L$1*E2</f>
        <v>1.6949999999999998</v>
      </c>
      <c r="G2" s="1">
        <v>1</v>
      </c>
      <c r="H2" s="1">
        <f ca="1">MIN(MAX(F2+G2,-1),1)</f>
        <v>1</v>
      </c>
    </row>
    <row r="3" spans="1:12" x14ac:dyDescent="0.3">
      <c r="A3" s="1">
        <v>1</v>
      </c>
      <c r="B3" s="1">
        <v>1</v>
      </c>
      <c r="C3" s="1">
        <v>1</v>
      </c>
      <c r="D3" s="1">
        <f t="shared" ref="D3:D31" ca="1" si="0">INT(B3+NORMINV(RAND(),0,2))</f>
        <v>3</v>
      </c>
      <c r="E3" s="1">
        <f t="shared" ref="E3:E31" ca="1" si="1">($B$31-D3)</f>
        <v>107</v>
      </c>
      <c r="F3" s="1">
        <f t="shared" ref="F3:F31" ca="1" si="2">$L$1*E3</f>
        <v>1.605</v>
      </c>
      <c r="G3" s="1">
        <v>1</v>
      </c>
      <c r="H3" s="1">
        <f t="shared" ref="H3:H31" ca="1" si="3">MIN(MAX(F3+G3,-1),1)</f>
        <v>1</v>
      </c>
    </row>
    <row r="4" spans="1:12" x14ac:dyDescent="0.3">
      <c r="A4" s="1">
        <v>2</v>
      </c>
      <c r="B4" s="1">
        <v>3</v>
      </c>
      <c r="C4" s="1">
        <f>B4-B3</f>
        <v>2</v>
      </c>
      <c r="D4" s="1">
        <f t="shared" ca="1" si="0"/>
        <v>1</v>
      </c>
      <c r="E4" s="1">
        <f t="shared" ca="1" si="1"/>
        <v>109</v>
      </c>
      <c r="F4" s="1">
        <f t="shared" ca="1" si="2"/>
        <v>1.635</v>
      </c>
      <c r="G4" s="1">
        <v>1</v>
      </c>
      <c r="H4" s="1">
        <f t="shared" ca="1" si="3"/>
        <v>1</v>
      </c>
    </row>
    <row r="5" spans="1:12" x14ac:dyDescent="0.3">
      <c r="A5" s="1">
        <v>3</v>
      </c>
      <c r="B5" s="1">
        <v>6</v>
      </c>
      <c r="C5" s="1">
        <f t="shared" ref="C5:C31" si="4">B5-B4</f>
        <v>3</v>
      </c>
      <c r="D5" s="1">
        <f t="shared" ca="1" si="0"/>
        <v>8</v>
      </c>
      <c r="E5" s="1">
        <f t="shared" ca="1" si="1"/>
        <v>102</v>
      </c>
      <c r="F5" s="1">
        <f t="shared" ca="1" si="2"/>
        <v>1.53</v>
      </c>
      <c r="G5" s="1">
        <v>1</v>
      </c>
      <c r="H5" s="1">
        <f t="shared" ca="1" si="3"/>
        <v>1</v>
      </c>
    </row>
    <row r="6" spans="1:12" x14ac:dyDescent="0.3">
      <c r="A6" s="1">
        <v>4</v>
      </c>
      <c r="B6" s="1">
        <v>10</v>
      </c>
      <c r="C6" s="1">
        <f t="shared" si="4"/>
        <v>4</v>
      </c>
      <c r="D6" s="1">
        <f t="shared" ca="1" si="0"/>
        <v>7</v>
      </c>
      <c r="E6" s="1">
        <f t="shared" ca="1" si="1"/>
        <v>103</v>
      </c>
      <c r="F6" s="1">
        <f t="shared" ca="1" si="2"/>
        <v>1.5449999999999999</v>
      </c>
      <c r="G6" s="1">
        <v>1</v>
      </c>
      <c r="H6" s="1">
        <f t="shared" ca="1" si="3"/>
        <v>1</v>
      </c>
    </row>
    <row r="7" spans="1:12" x14ac:dyDescent="0.3">
      <c r="A7" s="1">
        <v>5</v>
      </c>
      <c r="B7" s="1">
        <f>5*(A7-4)+$B$6</f>
        <v>15</v>
      </c>
      <c r="C7" s="1">
        <f t="shared" si="4"/>
        <v>5</v>
      </c>
      <c r="D7" s="1">
        <f t="shared" ca="1" si="0"/>
        <v>15</v>
      </c>
      <c r="E7" s="1">
        <f t="shared" ca="1" si="1"/>
        <v>95</v>
      </c>
      <c r="F7" s="1">
        <f t="shared" ca="1" si="2"/>
        <v>1.425</v>
      </c>
      <c r="G7" s="1">
        <v>1</v>
      </c>
      <c r="H7" s="1">
        <f t="shared" ca="1" si="3"/>
        <v>1</v>
      </c>
    </row>
    <row r="8" spans="1:12" x14ac:dyDescent="0.3">
      <c r="A8" s="1">
        <v>6</v>
      </c>
      <c r="B8" s="1">
        <f t="shared" ref="B8:B24" si="5">5*(A8-4)+$B$6</f>
        <v>20</v>
      </c>
      <c r="C8" s="1">
        <f t="shared" si="4"/>
        <v>5</v>
      </c>
      <c r="D8" s="1">
        <f t="shared" ca="1" si="0"/>
        <v>19</v>
      </c>
      <c r="E8" s="1">
        <f t="shared" ca="1" si="1"/>
        <v>91</v>
      </c>
      <c r="F8" s="1">
        <f t="shared" ca="1" si="2"/>
        <v>1.365</v>
      </c>
      <c r="G8" s="1">
        <v>1</v>
      </c>
      <c r="H8" s="1">
        <f t="shared" ca="1" si="3"/>
        <v>1</v>
      </c>
    </row>
    <row r="9" spans="1:12" x14ac:dyDescent="0.3">
      <c r="A9" s="1">
        <v>7</v>
      </c>
      <c r="B9" s="1">
        <f t="shared" si="5"/>
        <v>25</v>
      </c>
      <c r="C9" s="1">
        <f t="shared" si="4"/>
        <v>5</v>
      </c>
      <c r="D9" s="1">
        <f t="shared" ca="1" si="0"/>
        <v>26</v>
      </c>
      <c r="E9" s="1">
        <f t="shared" ca="1" si="1"/>
        <v>84</v>
      </c>
      <c r="F9" s="1">
        <f t="shared" ca="1" si="2"/>
        <v>1.26</v>
      </c>
      <c r="G9" s="1">
        <v>1</v>
      </c>
      <c r="H9" s="1">
        <f t="shared" ca="1" si="3"/>
        <v>1</v>
      </c>
    </row>
    <row r="10" spans="1:12" x14ac:dyDescent="0.3">
      <c r="A10" s="1">
        <v>8</v>
      </c>
      <c r="B10" s="1">
        <f t="shared" si="5"/>
        <v>30</v>
      </c>
      <c r="C10" s="1">
        <f t="shared" si="4"/>
        <v>5</v>
      </c>
      <c r="D10" s="1">
        <f t="shared" ca="1" si="0"/>
        <v>31</v>
      </c>
      <c r="E10" s="1">
        <f t="shared" ca="1" si="1"/>
        <v>79</v>
      </c>
      <c r="F10" s="1">
        <f t="shared" ca="1" si="2"/>
        <v>1.1850000000000001</v>
      </c>
      <c r="G10" s="1">
        <v>1</v>
      </c>
      <c r="H10" s="1">
        <f t="shared" ca="1" si="3"/>
        <v>1</v>
      </c>
    </row>
    <row r="11" spans="1:12" x14ac:dyDescent="0.3">
      <c r="A11" s="1">
        <v>9</v>
      </c>
      <c r="B11" s="1">
        <f t="shared" si="5"/>
        <v>35</v>
      </c>
      <c r="C11" s="1">
        <f t="shared" si="4"/>
        <v>5</v>
      </c>
      <c r="D11" s="1">
        <f t="shared" ca="1" si="0"/>
        <v>36</v>
      </c>
      <c r="E11" s="1">
        <f t="shared" ca="1" si="1"/>
        <v>74</v>
      </c>
      <c r="F11" s="1">
        <f t="shared" ca="1" si="2"/>
        <v>1.1099999999999999</v>
      </c>
      <c r="G11" s="1">
        <v>1</v>
      </c>
      <c r="H11" s="1">
        <f t="shared" ca="1" si="3"/>
        <v>1</v>
      </c>
    </row>
    <row r="12" spans="1:12" x14ac:dyDescent="0.3">
      <c r="A12" s="1">
        <v>10</v>
      </c>
      <c r="B12" s="1">
        <f t="shared" si="5"/>
        <v>40</v>
      </c>
      <c r="C12" s="1">
        <f t="shared" si="4"/>
        <v>5</v>
      </c>
      <c r="D12" s="1">
        <f t="shared" ca="1" si="0"/>
        <v>39</v>
      </c>
      <c r="E12" s="1">
        <f t="shared" ca="1" si="1"/>
        <v>71</v>
      </c>
      <c r="F12" s="1">
        <f t="shared" ca="1" si="2"/>
        <v>1.0649999999999999</v>
      </c>
      <c r="G12" s="1">
        <v>1</v>
      </c>
      <c r="H12" s="1">
        <f t="shared" ca="1" si="3"/>
        <v>1</v>
      </c>
    </row>
    <row r="13" spans="1:12" x14ac:dyDescent="0.3">
      <c r="A13" s="1">
        <v>11</v>
      </c>
      <c r="B13" s="1">
        <f t="shared" si="5"/>
        <v>45</v>
      </c>
      <c r="C13" s="1">
        <f t="shared" si="4"/>
        <v>5</v>
      </c>
      <c r="D13" s="1">
        <f t="shared" ca="1" si="0"/>
        <v>44</v>
      </c>
      <c r="E13" s="1">
        <f t="shared" ca="1" si="1"/>
        <v>66</v>
      </c>
      <c r="F13" s="1">
        <f t="shared" ca="1" si="2"/>
        <v>0.99</v>
      </c>
      <c r="G13" s="1">
        <v>1</v>
      </c>
      <c r="H13" s="1">
        <f t="shared" ca="1" si="3"/>
        <v>1</v>
      </c>
    </row>
    <row r="14" spans="1:12" x14ac:dyDescent="0.3">
      <c r="A14" s="1">
        <v>12</v>
      </c>
      <c r="B14" s="1">
        <f t="shared" si="5"/>
        <v>50</v>
      </c>
      <c r="C14" s="1">
        <f t="shared" si="4"/>
        <v>5</v>
      </c>
      <c r="D14" s="1">
        <f t="shared" ca="1" si="0"/>
        <v>48</v>
      </c>
      <c r="E14" s="1">
        <f t="shared" ca="1" si="1"/>
        <v>62</v>
      </c>
      <c r="F14" s="1">
        <f t="shared" ca="1" si="2"/>
        <v>0.92999999999999994</v>
      </c>
      <c r="G14" s="1">
        <v>1</v>
      </c>
      <c r="H14" s="1">
        <f t="shared" ca="1" si="3"/>
        <v>1</v>
      </c>
    </row>
    <row r="15" spans="1:12" x14ac:dyDescent="0.3">
      <c r="A15" s="1">
        <v>13</v>
      </c>
      <c r="B15" s="1">
        <f t="shared" si="5"/>
        <v>55</v>
      </c>
      <c r="C15" s="1">
        <f t="shared" si="4"/>
        <v>5</v>
      </c>
      <c r="D15" s="1">
        <f t="shared" ca="1" si="0"/>
        <v>55</v>
      </c>
      <c r="E15" s="1">
        <f t="shared" ca="1" si="1"/>
        <v>55</v>
      </c>
      <c r="F15" s="1">
        <f t="shared" ca="1" si="2"/>
        <v>0.82499999999999996</v>
      </c>
      <c r="G15" s="1">
        <v>1</v>
      </c>
      <c r="H15" s="1">
        <f t="shared" ca="1" si="3"/>
        <v>1</v>
      </c>
    </row>
    <row r="16" spans="1:12" x14ac:dyDescent="0.3">
      <c r="A16" s="1">
        <v>14</v>
      </c>
      <c r="B16" s="1">
        <f t="shared" si="5"/>
        <v>60</v>
      </c>
      <c r="C16" s="1">
        <f t="shared" si="4"/>
        <v>5</v>
      </c>
      <c r="D16" s="1">
        <f t="shared" ca="1" si="0"/>
        <v>61</v>
      </c>
      <c r="E16" s="1">
        <f t="shared" ca="1" si="1"/>
        <v>49</v>
      </c>
      <c r="F16" s="1">
        <f t="shared" ca="1" si="2"/>
        <v>0.73499999999999999</v>
      </c>
      <c r="G16" s="1">
        <v>1</v>
      </c>
      <c r="H16" s="1">
        <f t="shared" ca="1" si="3"/>
        <v>1</v>
      </c>
    </row>
    <row r="17" spans="1:8" x14ac:dyDescent="0.3">
      <c r="A17" s="1">
        <v>15</v>
      </c>
      <c r="B17" s="1">
        <f t="shared" si="5"/>
        <v>65</v>
      </c>
      <c r="C17" s="1">
        <f t="shared" si="4"/>
        <v>5</v>
      </c>
      <c r="D17" s="1">
        <f t="shared" ca="1" si="0"/>
        <v>63</v>
      </c>
      <c r="E17" s="1">
        <f t="shared" ca="1" si="1"/>
        <v>47</v>
      </c>
      <c r="F17" s="1">
        <f t="shared" ca="1" si="2"/>
        <v>0.70499999999999996</v>
      </c>
      <c r="G17" s="1">
        <v>1</v>
      </c>
      <c r="H17" s="1">
        <f t="shared" ca="1" si="3"/>
        <v>1</v>
      </c>
    </row>
    <row r="18" spans="1:8" x14ac:dyDescent="0.3">
      <c r="A18" s="1">
        <v>16</v>
      </c>
      <c r="B18" s="1">
        <f t="shared" si="5"/>
        <v>70</v>
      </c>
      <c r="C18" s="1">
        <f t="shared" si="4"/>
        <v>5</v>
      </c>
      <c r="D18" s="1">
        <f t="shared" ca="1" si="0"/>
        <v>71</v>
      </c>
      <c r="E18" s="1">
        <f t="shared" ca="1" si="1"/>
        <v>39</v>
      </c>
      <c r="F18" s="1">
        <f t="shared" ca="1" si="2"/>
        <v>0.58499999999999996</v>
      </c>
      <c r="G18" s="1">
        <v>1</v>
      </c>
      <c r="H18" s="1">
        <f t="shared" ca="1" si="3"/>
        <v>1</v>
      </c>
    </row>
    <row r="19" spans="1:8" x14ac:dyDescent="0.3">
      <c r="A19" s="1">
        <v>17</v>
      </c>
      <c r="B19" s="1">
        <f t="shared" si="5"/>
        <v>75</v>
      </c>
      <c r="C19" s="1">
        <f t="shared" si="4"/>
        <v>5</v>
      </c>
      <c r="D19" s="1">
        <f t="shared" ca="1" si="0"/>
        <v>72</v>
      </c>
      <c r="E19" s="1">
        <f t="shared" ca="1" si="1"/>
        <v>38</v>
      </c>
      <c r="F19" s="1">
        <f t="shared" ca="1" si="2"/>
        <v>0.56999999999999995</v>
      </c>
      <c r="G19" s="1">
        <v>1</v>
      </c>
      <c r="H19" s="1">
        <f t="shared" ca="1" si="3"/>
        <v>1</v>
      </c>
    </row>
    <row r="20" spans="1:8" x14ac:dyDescent="0.3">
      <c r="A20" s="1">
        <v>18</v>
      </c>
      <c r="B20" s="1">
        <f t="shared" si="5"/>
        <v>80</v>
      </c>
      <c r="C20" s="1">
        <f t="shared" si="4"/>
        <v>5</v>
      </c>
      <c r="D20" s="1">
        <f t="shared" ca="1" si="0"/>
        <v>80</v>
      </c>
      <c r="E20" s="1">
        <f t="shared" ca="1" si="1"/>
        <v>30</v>
      </c>
      <c r="F20" s="1">
        <f t="shared" ca="1" si="2"/>
        <v>0.44999999999999996</v>
      </c>
      <c r="G20" s="1">
        <v>1</v>
      </c>
      <c r="H20" s="1">
        <f t="shared" ca="1" si="3"/>
        <v>1</v>
      </c>
    </row>
    <row r="21" spans="1:8" x14ac:dyDescent="0.3">
      <c r="A21" s="1">
        <v>19</v>
      </c>
      <c r="B21" s="1">
        <f t="shared" si="5"/>
        <v>85</v>
      </c>
      <c r="C21" s="1">
        <f t="shared" si="4"/>
        <v>5</v>
      </c>
      <c r="D21" s="1">
        <f t="shared" ca="1" si="0"/>
        <v>85</v>
      </c>
      <c r="E21" s="1">
        <f t="shared" ca="1" si="1"/>
        <v>25</v>
      </c>
      <c r="F21" s="1">
        <f t="shared" ca="1" si="2"/>
        <v>0.375</v>
      </c>
      <c r="G21" s="1">
        <v>1</v>
      </c>
      <c r="H21" s="1">
        <f t="shared" ca="1" si="3"/>
        <v>1</v>
      </c>
    </row>
    <row r="22" spans="1:8" x14ac:dyDescent="0.3">
      <c r="A22" s="1">
        <v>20</v>
      </c>
      <c r="B22" s="1">
        <f t="shared" si="5"/>
        <v>90</v>
      </c>
      <c r="C22" s="1">
        <f t="shared" si="4"/>
        <v>5</v>
      </c>
      <c r="D22" s="1">
        <f t="shared" ca="1" si="0"/>
        <v>85</v>
      </c>
      <c r="E22" s="1">
        <f t="shared" ca="1" si="1"/>
        <v>25</v>
      </c>
      <c r="F22" s="1">
        <f t="shared" ca="1" si="2"/>
        <v>0.375</v>
      </c>
      <c r="G22" s="1">
        <v>1</v>
      </c>
      <c r="H22" s="1">
        <f t="shared" ca="1" si="3"/>
        <v>1</v>
      </c>
    </row>
    <row r="23" spans="1:8" x14ac:dyDescent="0.3">
      <c r="A23" s="1">
        <v>21</v>
      </c>
      <c r="B23" s="1">
        <f t="shared" si="5"/>
        <v>95</v>
      </c>
      <c r="C23" s="1">
        <f t="shared" si="4"/>
        <v>5</v>
      </c>
      <c r="D23" s="1">
        <f t="shared" ca="1" si="0"/>
        <v>95</v>
      </c>
      <c r="E23" s="1">
        <f t="shared" ca="1" si="1"/>
        <v>15</v>
      </c>
      <c r="F23" s="1">
        <f t="shared" ca="1" si="2"/>
        <v>0.22499999999999998</v>
      </c>
      <c r="G23" s="1">
        <v>1</v>
      </c>
      <c r="H23" s="1">
        <f t="shared" ca="1" si="3"/>
        <v>1</v>
      </c>
    </row>
    <row r="24" spans="1:8" x14ac:dyDescent="0.3">
      <c r="A24" s="1">
        <v>22</v>
      </c>
      <c r="B24" s="1">
        <f t="shared" si="5"/>
        <v>100</v>
      </c>
      <c r="C24" s="1">
        <f t="shared" si="4"/>
        <v>5</v>
      </c>
      <c r="D24" s="1">
        <f t="shared" ca="1" si="0"/>
        <v>100</v>
      </c>
      <c r="E24" s="1">
        <f t="shared" ca="1" si="1"/>
        <v>10</v>
      </c>
      <c r="F24" s="1">
        <f t="shared" ca="1" si="2"/>
        <v>0.15</v>
      </c>
      <c r="G24" s="1">
        <v>1</v>
      </c>
      <c r="H24" s="1">
        <f t="shared" ca="1" si="3"/>
        <v>1</v>
      </c>
    </row>
    <row r="25" spans="1:8" x14ac:dyDescent="0.3">
      <c r="A25" s="1">
        <v>23</v>
      </c>
      <c r="B25" s="1">
        <v>104</v>
      </c>
      <c r="C25" s="1">
        <f t="shared" si="4"/>
        <v>4</v>
      </c>
      <c r="D25" s="1">
        <f t="shared" ca="1" si="0"/>
        <v>102</v>
      </c>
      <c r="E25" s="1">
        <f t="shared" ca="1" si="1"/>
        <v>8</v>
      </c>
      <c r="F25" s="1">
        <f t="shared" ca="1" si="2"/>
        <v>0.12</v>
      </c>
      <c r="G25" s="1">
        <v>1</v>
      </c>
      <c r="H25" s="1">
        <f t="shared" ca="1" si="3"/>
        <v>1</v>
      </c>
    </row>
    <row r="26" spans="1:8" x14ac:dyDescent="0.3">
      <c r="A26" s="1">
        <v>24</v>
      </c>
      <c r="B26" s="1">
        <v>107</v>
      </c>
      <c r="C26" s="1">
        <f t="shared" si="4"/>
        <v>3</v>
      </c>
      <c r="D26" s="1">
        <f t="shared" ca="1" si="0"/>
        <v>105</v>
      </c>
      <c r="E26" s="1">
        <f t="shared" ca="1" si="1"/>
        <v>5</v>
      </c>
      <c r="F26" s="1">
        <f t="shared" ca="1" si="2"/>
        <v>7.4999999999999997E-2</v>
      </c>
      <c r="G26" s="1">
        <v>0.5</v>
      </c>
      <c r="H26" s="1">
        <f t="shared" ca="1" si="3"/>
        <v>0.57499999999999996</v>
      </c>
    </row>
    <row r="27" spans="1:8" x14ac:dyDescent="0.3">
      <c r="A27" s="1">
        <v>25</v>
      </c>
      <c r="B27" s="1">
        <v>109</v>
      </c>
      <c r="C27" s="1">
        <f t="shared" si="4"/>
        <v>2</v>
      </c>
      <c r="D27" s="1">
        <f t="shared" ca="1" si="0"/>
        <v>110</v>
      </c>
      <c r="E27" s="1">
        <f t="shared" ca="1" si="1"/>
        <v>0</v>
      </c>
      <c r="F27" s="1">
        <f t="shared" ca="1" si="2"/>
        <v>0</v>
      </c>
      <c r="G27" s="1">
        <v>0.1</v>
      </c>
      <c r="H27" s="1">
        <f t="shared" ca="1" si="3"/>
        <v>0.1</v>
      </c>
    </row>
    <row r="28" spans="1:8" x14ac:dyDescent="0.3">
      <c r="A28" s="1">
        <v>26</v>
      </c>
      <c r="B28" s="1">
        <v>110</v>
      </c>
      <c r="C28" s="1">
        <f t="shared" si="4"/>
        <v>1</v>
      </c>
      <c r="D28" s="1">
        <f t="shared" ca="1" si="0"/>
        <v>106</v>
      </c>
      <c r="E28" s="1">
        <f t="shared" ca="1" si="1"/>
        <v>4</v>
      </c>
      <c r="F28" s="1">
        <f t="shared" ca="1" si="2"/>
        <v>0.06</v>
      </c>
      <c r="G28" s="1">
        <v>0</v>
      </c>
      <c r="H28" s="1">
        <f t="shared" ca="1" si="3"/>
        <v>0.06</v>
      </c>
    </row>
    <row r="29" spans="1:8" x14ac:dyDescent="0.3">
      <c r="A29" s="1">
        <v>27</v>
      </c>
      <c r="B29" s="1">
        <v>110</v>
      </c>
      <c r="C29" s="1">
        <f t="shared" si="4"/>
        <v>0</v>
      </c>
      <c r="D29" s="1">
        <f t="shared" ca="1" si="0"/>
        <v>108</v>
      </c>
      <c r="E29" s="1">
        <f t="shared" ca="1" si="1"/>
        <v>2</v>
      </c>
      <c r="F29" s="1">
        <f t="shared" ca="1" si="2"/>
        <v>0.03</v>
      </c>
      <c r="G29" s="1">
        <v>0</v>
      </c>
      <c r="H29" s="1">
        <f t="shared" ca="1" si="3"/>
        <v>0.03</v>
      </c>
    </row>
    <row r="30" spans="1:8" x14ac:dyDescent="0.3">
      <c r="A30" s="1">
        <v>28</v>
      </c>
      <c r="B30" s="1">
        <v>110</v>
      </c>
      <c r="C30" s="1">
        <f t="shared" si="4"/>
        <v>0</v>
      </c>
      <c r="D30" s="1">
        <f t="shared" ca="1" si="0"/>
        <v>112</v>
      </c>
      <c r="E30" s="1">
        <f t="shared" ca="1" si="1"/>
        <v>-2</v>
      </c>
      <c r="F30" s="1">
        <f t="shared" ca="1" si="2"/>
        <v>-0.03</v>
      </c>
      <c r="G30" s="1">
        <v>0</v>
      </c>
      <c r="H30" s="1">
        <f t="shared" ca="1" si="3"/>
        <v>-0.03</v>
      </c>
    </row>
    <row r="31" spans="1:8" x14ac:dyDescent="0.3">
      <c r="A31" s="1">
        <v>29</v>
      </c>
      <c r="B31" s="1">
        <v>110</v>
      </c>
      <c r="C31" s="1">
        <f t="shared" si="4"/>
        <v>0</v>
      </c>
      <c r="D31" s="1">
        <f t="shared" ca="1" si="0"/>
        <v>110</v>
      </c>
      <c r="E31" s="1">
        <f t="shared" ca="1" si="1"/>
        <v>0</v>
      </c>
      <c r="F31" s="1">
        <f t="shared" ca="1" si="2"/>
        <v>0</v>
      </c>
      <c r="G31" s="1">
        <v>0</v>
      </c>
      <c r="H31" s="1">
        <f t="shared" ca="1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4DF9-3502-4E7F-B55D-48E379EA5B23}">
  <dimension ref="A1:K32"/>
  <sheetViews>
    <sheetView tabSelected="1" workbookViewId="0">
      <selection activeCell="N7" sqref="N7"/>
    </sheetView>
  </sheetViews>
  <sheetFormatPr defaultRowHeight="14.4" x14ac:dyDescent="0.3"/>
  <cols>
    <col min="1" max="1" width="5" style="1" customWidth="1"/>
    <col min="2" max="2" width="7.77734375" style="1" bestFit="1" customWidth="1"/>
    <col min="3" max="3" width="6.33203125" style="1" bestFit="1" customWidth="1"/>
    <col min="4" max="4" width="5.109375" style="1" bestFit="1" customWidth="1"/>
    <col min="5" max="5" width="14.109375" style="1" bestFit="1" customWidth="1"/>
    <col min="6" max="8" width="14.109375" style="1" customWidth="1"/>
    <col min="9" max="9" width="8.88671875" style="1"/>
    <col min="10" max="10" width="13.5546875" bestFit="1" customWidth="1"/>
    <col min="11" max="11" width="17.21875" bestFit="1" customWidth="1"/>
  </cols>
  <sheetData>
    <row r="1" spans="1:11" s="2" customFormat="1" x14ac:dyDescent="0.3">
      <c r="A1" s="2" t="s">
        <v>0</v>
      </c>
      <c r="B1" s="2" t="s">
        <v>3</v>
      </c>
      <c r="C1" s="2" t="s">
        <v>9</v>
      </c>
      <c r="D1" s="2" t="s">
        <v>2</v>
      </c>
      <c r="E1" s="2" t="s">
        <v>10</v>
      </c>
      <c r="F1" s="2" t="s">
        <v>14</v>
      </c>
      <c r="G1" s="10" t="s">
        <v>17</v>
      </c>
      <c r="H1" s="10" t="s">
        <v>19</v>
      </c>
      <c r="I1" s="2" t="s">
        <v>11</v>
      </c>
      <c r="J1" s="10" t="s">
        <v>18</v>
      </c>
      <c r="K1" s="2" t="s">
        <v>20</v>
      </c>
    </row>
    <row r="2" spans="1:11" s="2" customFormat="1" x14ac:dyDescent="0.3">
      <c r="A2" s="3">
        <v>1</v>
      </c>
      <c r="B2" s="3">
        <v>4</v>
      </c>
      <c r="C2" s="1">
        <v>10</v>
      </c>
      <c r="D2" s="1">
        <f t="shared" ref="D2:D3" si="0">C2-B2</f>
        <v>6</v>
      </c>
    </row>
    <row r="3" spans="1:11" s="2" customFormat="1" x14ac:dyDescent="0.3">
      <c r="A3" s="3">
        <v>2</v>
      </c>
      <c r="B3" s="3">
        <v>5</v>
      </c>
      <c r="C3" s="1">
        <v>10</v>
      </c>
      <c r="D3" s="1">
        <f t="shared" si="0"/>
        <v>5</v>
      </c>
      <c r="E3" s="1">
        <f t="shared" ref="E3:E4" si="1">(D3-D2)/(A3-A2)</f>
        <v>-1</v>
      </c>
      <c r="F3" s="1">
        <f t="shared" ref="F3:F4" si="2">D3/E3</f>
        <v>-5</v>
      </c>
      <c r="G3" s="1">
        <f>-F3</f>
        <v>5</v>
      </c>
      <c r="H3" s="1">
        <f>ABS(F3)</f>
        <v>5</v>
      </c>
      <c r="I3" s="3" t="s">
        <v>12</v>
      </c>
      <c r="J3" s="3" t="b">
        <f>IF(G3&lt;2,TRUE,FALSE)</f>
        <v>0</v>
      </c>
      <c r="K3" s="3" t="b">
        <f>IF(H3&lt;=2,TRUE,FALSE)</f>
        <v>0</v>
      </c>
    </row>
    <row r="4" spans="1:11" x14ac:dyDescent="0.3">
      <c r="A4" s="3">
        <v>3</v>
      </c>
      <c r="B4" s="1">
        <v>6</v>
      </c>
      <c r="C4" s="1">
        <v>10</v>
      </c>
      <c r="D4" s="1">
        <f>C4-B4</f>
        <v>4</v>
      </c>
      <c r="E4" s="1">
        <f t="shared" si="1"/>
        <v>-1</v>
      </c>
      <c r="F4" s="1">
        <f t="shared" si="2"/>
        <v>-4</v>
      </c>
      <c r="G4" s="1">
        <f t="shared" ref="G4:G20" si="3">-F4</f>
        <v>4</v>
      </c>
      <c r="H4" s="1">
        <f t="shared" ref="H4:H20" si="4">ABS(F4)</f>
        <v>4</v>
      </c>
      <c r="I4" s="1" t="s">
        <v>12</v>
      </c>
      <c r="J4" s="3" t="b">
        <f t="shared" ref="J4:J20" si="5">IF(G4&lt;2,TRUE,FALSE)</f>
        <v>0</v>
      </c>
      <c r="K4" s="3" t="b">
        <f t="shared" ref="K4:K20" si="6">IF(H4&lt;=2,TRUE,FALSE)</f>
        <v>0</v>
      </c>
    </row>
    <row r="5" spans="1:11" x14ac:dyDescent="0.3">
      <c r="A5" s="3">
        <v>4</v>
      </c>
      <c r="B5" s="1">
        <v>7</v>
      </c>
      <c r="C5" s="1">
        <v>10</v>
      </c>
      <c r="D5" s="1">
        <f t="shared" ref="D5:D20" si="7">C5-B5</f>
        <v>3</v>
      </c>
      <c r="E5" s="1">
        <f>(D5-D4)/(A5-A4)</f>
        <v>-1</v>
      </c>
      <c r="F5" s="1">
        <f>D5/E5</f>
        <v>-3</v>
      </c>
      <c r="G5" s="1">
        <f t="shared" si="3"/>
        <v>3</v>
      </c>
      <c r="H5" s="1">
        <f t="shared" si="4"/>
        <v>3</v>
      </c>
      <c r="I5" s="1" t="s">
        <v>12</v>
      </c>
      <c r="J5" s="3" t="b">
        <f t="shared" si="5"/>
        <v>0</v>
      </c>
      <c r="K5" s="3" t="b">
        <f t="shared" si="6"/>
        <v>0</v>
      </c>
    </row>
    <row r="6" spans="1:11" x14ac:dyDescent="0.3">
      <c r="A6" s="4">
        <v>5</v>
      </c>
      <c r="B6" s="5">
        <v>8</v>
      </c>
      <c r="C6" s="5">
        <v>10</v>
      </c>
      <c r="D6" s="5">
        <f t="shared" si="7"/>
        <v>2</v>
      </c>
      <c r="E6" s="5">
        <f t="shared" ref="E6:E20" si="8">(D6-D5)/(A6-A5)</f>
        <v>-1</v>
      </c>
      <c r="F6" s="5">
        <f t="shared" ref="F6:F20" si="9">D6/E6</f>
        <v>-2</v>
      </c>
      <c r="G6" s="5">
        <f t="shared" si="3"/>
        <v>2</v>
      </c>
      <c r="H6" s="1">
        <f t="shared" si="4"/>
        <v>2</v>
      </c>
      <c r="I6" s="5" t="s">
        <v>13</v>
      </c>
      <c r="J6" s="3" t="b">
        <f t="shared" si="5"/>
        <v>0</v>
      </c>
      <c r="K6" s="3" t="b">
        <f t="shared" si="6"/>
        <v>1</v>
      </c>
    </row>
    <row r="7" spans="1:11" x14ac:dyDescent="0.3">
      <c r="A7" s="4">
        <v>6</v>
      </c>
      <c r="B7" s="5">
        <v>9</v>
      </c>
      <c r="C7" s="5">
        <v>10</v>
      </c>
      <c r="D7" s="5">
        <f t="shared" si="7"/>
        <v>1</v>
      </c>
      <c r="E7" s="5">
        <f t="shared" si="8"/>
        <v>-1</v>
      </c>
      <c r="F7" s="5">
        <f t="shared" si="9"/>
        <v>-1</v>
      </c>
      <c r="G7" s="5">
        <f t="shared" si="3"/>
        <v>1</v>
      </c>
      <c r="H7" s="1">
        <f t="shared" si="4"/>
        <v>1</v>
      </c>
      <c r="I7" s="5" t="s">
        <v>13</v>
      </c>
      <c r="J7" s="3" t="b">
        <f t="shared" si="5"/>
        <v>1</v>
      </c>
      <c r="K7" s="3" t="b">
        <f t="shared" si="6"/>
        <v>1</v>
      </c>
    </row>
    <row r="8" spans="1:11" x14ac:dyDescent="0.3">
      <c r="A8" s="8">
        <v>7</v>
      </c>
      <c r="B8" s="9">
        <v>10</v>
      </c>
      <c r="C8" s="9">
        <v>10</v>
      </c>
      <c r="D8" s="9">
        <f t="shared" si="7"/>
        <v>0</v>
      </c>
      <c r="E8" s="9">
        <f t="shared" si="8"/>
        <v>-1</v>
      </c>
      <c r="F8" s="9">
        <f t="shared" si="9"/>
        <v>0</v>
      </c>
      <c r="G8" s="9">
        <f t="shared" si="3"/>
        <v>0</v>
      </c>
      <c r="H8" s="1">
        <f t="shared" si="4"/>
        <v>0</v>
      </c>
      <c r="I8" s="9" t="s">
        <v>15</v>
      </c>
      <c r="J8" s="3" t="b">
        <f t="shared" si="5"/>
        <v>1</v>
      </c>
      <c r="K8" s="3" t="b">
        <f t="shared" si="6"/>
        <v>1</v>
      </c>
    </row>
    <row r="9" spans="1:11" x14ac:dyDescent="0.3">
      <c r="A9" s="3">
        <v>8</v>
      </c>
      <c r="B9" s="1">
        <v>11</v>
      </c>
      <c r="C9" s="1">
        <v>10</v>
      </c>
      <c r="D9" s="1">
        <f t="shared" si="7"/>
        <v>-1</v>
      </c>
      <c r="E9" s="1">
        <f t="shared" si="8"/>
        <v>-1</v>
      </c>
      <c r="F9" s="1">
        <f t="shared" si="9"/>
        <v>1</v>
      </c>
      <c r="G9" s="1">
        <f t="shared" si="3"/>
        <v>-1</v>
      </c>
      <c r="H9" s="1">
        <f t="shared" si="4"/>
        <v>1</v>
      </c>
      <c r="I9" s="1" t="s">
        <v>16</v>
      </c>
      <c r="J9" s="3" t="b">
        <f t="shared" si="5"/>
        <v>1</v>
      </c>
      <c r="K9" s="3" t="b">
        <f t="shared" si="6"/>
        <v>1</v>
      </c>
    </row>
    <row r="10" spans="1:11" x14ac:dyDescent="0.3">
      <c r="A10" s="3">
        <v>9</v>
      </c>
      <c r="B10" s="1">
        <v>12</v>
      </c>
      <c r="C10" s="1">
        <v>10</v>
      </c>
      <c r="D10" s="1">
        <f t="shared" si="7"/>
        <v>-2</v>
      </c>
      <c r="E10" s="1">
        <f t="shared" si="8"/>
        <v>-1</v>
      </c>
      <c r="F10" s="1">
        <f t="shared" si="9"/>
        <v>2</v>
      </c>
      <c r="G10" s="1">
        <f t="shared" si="3"/>
        <v>-2</v>
      </c>
      <c r="H10" s="1">
        <f t="shared" si="4"/>
        <v>2</v>
      </c>
      <c r="I10" s="1" t="s">
        <v>16</v>
      </c>
      <c r="J10" s="3" t="b">
        <f t="shared" si="5"/>
        <v>1</v>
      </c>
      <c r="K10" s="3" t="b">
        <f t="shared" si="6"/>
        <v>1</v>
      </c>
    </row>
    <row r="11" spans="1:11" x14ac:dyDescent="0.3">
      <c r="A11" s="3">
        <v>10</v>
      </c>
      <c r="B11" s="1">
        <v>13</v>
      </c>
      <c r="C11" s="1">
        <v>10</v>
      </c>
      <c r="D11" s="1">
        <f t="shared" si="7"/>
        <v>-3</v>
      </c>
      <c r="E11" s="1">
        <f t="shared" si="8"/>
        <v>-1</v>
      </c>
      <c r="F11" s="1">
        <f t="shared" si="9"/>
        <v>3</v>
      </c>
      <c r="G11" s="1">
        <f t="shared" si="3"/>
        <v>-3</v>
      </c>
      <c r="H11" s="1">
        <f t="shared" si="4"/>
        <v>3</v>
      </c>
      <c r="I11" s="1" t="s">
        <v>12</v>
      </c>
      <c r="J11" s="3" t="b">
        <f t="shared" si="5"/>
        <v>1</v>
      </c>
      <c r="K11" s="3" t="b">
        <f t="shared" si="6"/>
        <v>0</v>
      </c>
    </row>
    <row r="12" spans="1:11" x14ac:dyDescent="0.3">
      <c r="A12" s="6">
        <v>11</v>
      </c>
      <c r="B12" s="7">
        <v>14</v>
      </c>
      <c r="C12" s="7">
        <v>10</v>
      </c>
      <c r="D12" s="7">
        <f t="shared" si="7"/>
        <v>-4</v>
      </c>
      <c r="E12" s="7">
        <f t="shared" si="8"/>
        <v>-1</v>
      </c>
      <c r="F12" s="7">
        <f t="shared" si="9"/>
        <v>4</v>
      </c>
      <c r="G12" s="7">
        <f t="shared" si="3"/>
        <v>-4</v>
      </c>
      <c r="H12" s="1">
        <f t="shared" si="4"/>
        <v>4</v>
      </c>
      <c r="I12" s="7" t="s">
        <v>12</v>
      </c>
      <c r="J12" s="3" t="b">
        <f t="shared" si="5"/>
        <v>1</v>
      </c>
      <c r="K12" s="3" t="b">
        <f t="shared" si="6"/>
        <v>0</v>
      </c>
    </row>
    <row r="13" spans="1:11" x14ac:dyDescent="0.3">
      <c r="A13" s="3">
        <v>12</v>
      </c>
      <c r="B13" s="1">
        <v>13</v>
      </c>
      <c r="C13" s="1">
        <v>10</v>
      </c>
      <c r="D13" s="1">
        <f t="shared" si="7"/>
        <v>-3</v>
      </c>
      <c r="E13" s="1">
        <f t="shared" si="8"/>
        <v>1</v>
      </c>
      <c r="F13" s="1">
        <f t="shared" si="9"/>
        <v>-3</v>
      </c>
      <c r="G13" s="1">
        <f t="shared" si="3"/>
        <v>3</v>
      </c>
      <c r="H13" s="1">
        <f t="shared" si="4"/>
        <v>3</v>
      </c>
      <c r="I13" s="1" t="s">
        <v>12</v>
      </c>
      <c r="J13" s="3" t="b">
        <f t="shared" si="5"/>
        <v>0</v>
      </c>
      <c r="K13" s="3" t="b">
        <f t="shared" si="6"/>
        <v>0</v>
      </c>
    </row>
    <row r="14" spans="1:11" x14ac:dyDescent="0.3">
      <c r="A14" s="4">
        <v>13</v>
      </c>
      <c r="B14" s="5">
        <v>12</v>
      </c>
      <c r="C14" s="5">
        <v>10</v>
      </c>
      <c r="D14" s="5">
        <f t="shared" si="7"/>
        <v>-2</v>
      </c>
      <c r="E14" s="5">
        <f t="shared" si="8"/>
        <v>1</v>
      </c>
      <c r="F14" s="5">
        <f t="shared" si="9"/>
        <v>-2</v>
      </c>
      <c r="G14" s="5">
        <f t="shared" si="3"/>
        <v>2</v>
      </c>
      <c r="H14" s="1">
        <f t="shared" si="4"/>
        <v>2</v>
      </c>
      <c r="I14" s="5" t="s">
        <v>13</v>
      </c>
      <c r="J14" s="3" t="b">
        <f t="shared" si="5"/>
        <v>0</v>
      </c>
      <c r="K14" s="3" t="b">
        <f t="shared" si="6"/>
        <v>1</v>
      </c>
    </row>
    <row r="15" spans="1:11" x14ac:dyDescent="0.3">
      <c r="A15" s="4">
        <v>14</v>
      </c>
      <c r="B15" s="5">
        <v>11</v>
      </c>
      <c r="C15" s="5">
        <v>10</v>
      </c>
      <c r="D15" s="5">
        <f t="shared" si="7"/>
        <v>-1</v>
      </c>
      <c r="E15" s="5">
        <f t="shared" si="8"/>
        <v>1</v>
      </c>
      <c r="F15" s="5">
        <f t="shared" si="9"/>
        <v>-1</v>
      </c>
      <c r="G15" s="5">
        <f t="shared" si="3"/>
        <v>1</v>
      </c>
      <c r="H15" s="1">
        <f t="shared" si="4"/>
        <v>1</v>
      </c>
      <c r="I15" s="5" t="s">
        <v>13</v>
      </c>
      <c r="J15" s="3" t="b">
        <f t="shared" si="5"/>
        <v>1</v>
      </c>
      <c r="K15" s="3" t="b">
        <f t="shared" si="6"/>
        <v>1</v>
      </c>
    </row>
    <row r="16" spans="1:11" x14ac:dyDescent="0.3">
      <c r="A16" s="8">
        <v>15</v>
      </c>
      <c r="B16" s="9">
        <v>10</v>
      </c>
      <c r="C16" s="9">
        <v>10</v>
      </c>
      <c r="D16" s="9">
        <f t="shared" si="7"/>
        <v>0</v>
      </c>
      <c r="E16" s="9">
        <f t="shared" si="8"/>
        <v>1</v>
      </c>
      <c r="F16" s="9">
        <f t="shared" si="9"/>
        <v>0</v>
      </c>
      <c r="G16" s="9">
        <f t="shared" si="3"/>
        <v>0</v>
      </c>
      <c r="H16" s="1">
        <f t="shared" si="4"/>
        <v>0</v>
      </c>
      <c r="I16" s="9" t="s">
        <v>15</v>
      </c>
      <c r="J16" s="3" t="b">
        <f t="shared" si="5"/>
        <v>1</v>
      </c>
      <c r="K16" s="3" t="b">
        <f t="shared" si="6"/>
        <v>1</v>
      </c>
    </row>
    <row r="17" spans="1:11" x14ac:dyDescent="0.3">
      <c r="A17" s="3">
        <v>16</v>
      </c>
      <c r="B17" s="1">
        <v>9</v>
      </c>
      <c r="C17" s="1">
        <v>10</v>
      </c>
      <c r="D17" s="1">
        <f t="shared" si="7"/>
        <v>1</v>
      </c>
      <c r="E17" s="1">
        <f t="shared" si="8"/>
        <v>1</v>
      </c>
      <c r="F17" s="1">
        <f t="shared" si="9"/>
        <v>1</v>
      </c>
      <c r="G17" s="1">
        <f t="shared" si="3"/>
        <v>-1</v>
      </c>
      <c r="H17" s="1">
        <f t="shared" si="4"/>
        <v>1</v>
      </c>
      <c r="I17" s="1" t="s">
        <v>16</v>
      </c>
      <c r="J17" s="3" t="b">
        <f t="shared" si="5"/>
        <v>1</v>
      </c>
      <c r="K17" s="3" t="b">
        <f t="shared" si="6"/>
        <v>1</v>
      </c>
    </row>
    <row r="18" spans="1:11" x14ac:dyDescent="0.3">
      <c r="A18" s="3">
        <v>17</v>
      </c>
      <c r="B18" s="1">
        <v>8</v>
      </c>
      <c r="C18" s="1">
        <v>10</v>
      </c>
      <c r="D18" s="1">
        <f t="shared" si="7"/>
        <v>2</v>
      </c>
      <c r="E18" s="1">
        <f t="shared" si="8"/>
        <v>1</v>
      </c>
      <c r="F18" s="1">
        <f t="shared" si="9"/>
        <v>2</v>
      </c>
      <c r="G18" s="1">
        <f t="shared" si="3"/>
        <v>-2</v>
      </c>
      <c r="H18" s="1">
        <f t="shared" si="4"/>
        <v>2</v>
      </c>
      <c r="I18" s="1" t="s">
        <v>16</v>
      </c>
      <c r="J18" s="3" t="b">
        <f t="shared" si="5"/>
        <v>1</v>
      </c>
      <c r="K18" s="3" t="b">
        <f t="shared" si="6"/>
        <v>1</v>
      </c>
    </row>
    <row r="19" spans="1:11" x14ac:dyDescent="0.3">
      <c r="A19" s="3">
        <v>18</v>
      </c>
      <c r="B19" s="1">
        <v>7</v>
      </c>
      <c r="C19" s="1">
        <v>10</v>
      </c>
      <c r="D19" s="1">
        <f t="shared" si="7"/>
        <v>3</v>
      </c>
      <c r="E19" s="1">
        <f t="shared" si="8"/>
        <v>1</v>
      </c>
      <c r="F19" s="1">
        <f t="shared" si="9"/>
        <v>3</v>
      </c>
      <c r="G19" s="1">
        <f t="shared" si="3"/>
        <v>-3</v>
      </c>
      <c r="H19" s="1">
        <f t="shared" si="4"/>
        <v>3</v>
      </c>
      <c r="I19" s="1" t="s">
        <v>12</v>
      </c>
      <c r="J19" s="3" t="b">
        <f t="shared" si="5"/>
        <v>1</v>
      </c>
      <c r="K19" s="3" t="b">
        <f t="shared" si="6"/>
        <v>0</v>
      </c>
    </row>
    <row r="20" spans="1:11" x14ac:dyDescent="0.3">
      <c r="A20" s="3">
        <v>19</v>
      </c>
      <c r="B20" s="1">
        <v>6</v>
      </c>
      <c r="C20" s="1">
        <v>10</v>
      </c>
      <c r="D20" s="1">
        <f t="shared" si="7"/>
        <v>4</v>
      </c>
      <c r="E20" s="1">
        <f t="shared" si="8"/>
        <v>1</v>
      </c>
      <c r="F20" s="1">
        <f t="shared" si="9"/>
        <v>4</v>
      </c>
      <c r="G20" s="1">
        <f t="shared" si="3"/>
        <v>-4</v>
      </c>
      <c r="H20" s="1">
        <f t="shared" si="4"/>
        <v>4</v>
      </c>
      <c r="I20" s="1" t="s">
        <v>12</v>
      </c>
      <c r="J20" s="3" t="b">
        <f t="shared" si="5"/>
        <v>1</v>
      </c>
      <c r="K20" s="3" t="b">
        <f t="shared" si="6"/>
        <v>0</v>
      </c>
    </row>
    <row r="21" spans="1:11" x14ac:dyDescent="0.3">
      <c r="A21" s="3"/>
    </row>
    <row r="24" spans="1:11" x14ac:dyDescent="0.3">
      <c r="A24" s="1">
        <v>1</v>
      </c>
      <c r="B24" s="1">
        <v>-6</v>
      </c>
      <c r="C24" s="1">
        <v>-10</v>
      </c>
      <c r="D24" s="1">
        <f>C24-B24</f>
        <v>-4</v>
      </c>
    </row>
    <row r="25" spans="1:11" x14ac:dyDescent="0.3">
      <c r="A25" s="1">
        <v>2</v>
      </c>
      <c r="B25" s="1">
        <v>-7</v>
      </c>
      <c r="C25" s="1">
        <v>-10</v>
      </c>
      <c r="D25" s="1">
        <f t="shared" ref="D25:D32" si="10">C25-B25</f>
        <v>-3</v>
      </c>
      <c r="E25" s="1">
        <f t="shared" ref="E25:E32" si="11">(D25-D24)/(A25-A24)</f>
        <v>1</v>
      </c>
    </row>
    <row r="26" spans="1:11" x14ac:dyDescent="0.3">
      <c r="A26" s="1">
        <v>3</v>
      </c>
      <c r="B26" s="1">
        <v>-8</v>
      </c>
      <c r="C26" s="1">
        <v>-10</v>
      </c>
      <c r="D26" s="1">
        <f t="shared" si="10"/>
        <v>-2</v>
      </c>
      <c r="E26" s="1">
        <f t="shared" si="11"/>
        <v>1</v>
      </c>
    </row>
    <row r="27" spans="1:11" x14ac:dyDescent="0.3">
      <c r="A27" s="1">
        <v>4</v>
      </c>
      <c r="B27" s="1">
        <v>-9</v>
      </c>
      <c r="C27" s="1">
        <v>-10</v>
      </c>
      <c r="D27" s="1">
        <f t="shared" si="10"/>
        <v>-1</v>
      </c>
      <c r="E27" s="1">
        <f t="shared" si="11"/>
        <v>1</v>
      </c>
    </row>
    <row r="28" spans="1:11" x14ac:dyDescent="0.3">
      <c r="A28" s="1">
        <v>5</v>
      </c>
      <c r="B28" s="1">
        <v>-10</v>
      </c>
      <c r="C28" s="1">
        <v>-10</v>
      </c>
      <c r="D28" s="1">
        <f t="shared" si="10"/>
        <v>0</v>
      </c>
      <c r="E28" s="1">
        <f t="shared" si="11"/>
        <v>1</v>
      </c>
    </row>
    <row r="29" spans="1:11" x14ac:dyDescent="0.3">
      <c r="A29" s="1">
        <v>6</v>
      </c>
      <c r="B29" s="1">
        <v>-11</v>
      </c>
      <c r="C29" s="1">
        <v>-10</v>
      </c>
      <c r="D29" s="1">
        <f t="shared" si="10"/>
        <v>1</v>
      </c>
      <c r="E29" s="1">
        <f t="shared" si="11"/>
        <v>1</v>
      </c>
    </row>
    <row r="30" spans="1:11" x14ac:dyDescent="0.3">
      <c r="A30" s="1">
        <v>7</v>
      </c>
      <c r="B30" s="1">
        <v>-12</v>
      </c>
      <c r="C30" s="1">
        <v>-10</v>
      </c>
      <c r="D30" s="1">
        <f t="shared" si="10"/>
        <v>2</v>
      </c>
      <c r="E30" s="1">
        <f t="shared" si="11"/>
        <v>1</v>
      </c>
    </row>
    <row r="31" spans="1:11" x14ac:dyDescent="0.3">
      <c r="A31" s="1">
        <v>8</v>
      </c>
      <c r="B31" s="1">
        <v>-13</v>
      </c>
      <c r="C31" s="1">
        <v>-10</v>
      </c>
      <c r="D31" s="1">
        <f t="shared" si="10"/>
        <v>3</v>
      </c>
      <c r="E31" s="1">
        <f t="shared" si="11"/>
        <v>1</v>
      </c>
    </row>
    <row r="32" spans="1:11" x14ac:dyDescent="0.3">
      <c r="A32" s="1">
        <v>9</v>
      </c>
      <c r="B32" s="1">
        <v>-14</v>
      </c>
      <c r="C32" s="1">
        <v>-10</v>
      </c>
      <c r="D32" s="1">
        <f t="shared" si="10"/>
        <v>4</v>
      </c>
      <c r="E32" s="1">
        <f t="shared" si="1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Daddy's World</vt:lpstr>
      <vt:lpstr>Error &amp; Derivative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 Nayal</dc:creator>
  <cp:lastModifiedBy>Murad Nayal</cp:lastModifiedBy>
  <dcterms:created xsi:type="dcterms:W3CDTF">2025-02-17T15:52:40Z</dcterms:created>
  <dcterms:modified xsi:type="dcterms:W3CDTF">2025-02-25T18:16:37Z</dcterms:modified>
</cp:coreProperties>
</file>